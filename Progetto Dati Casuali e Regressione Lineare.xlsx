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omma\Desktop\"/>
    </mc:Choice>
  </mc:AlternateContent>
  <xr:revisionPtr revIDLastSave="0" documentId="13_ncr:1_{D8316C1D-2D68-450D-BB22-094F5EC012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eters" sheetId="1" r:id="rId1"/>
    <sheet name="Data" sheetId="2" r:id="rId2"/>
    <sheet name="Sample" sheetId="3" r:id="rId3"/>
    <sheet name="Statistical insight" sheetId="4" r:id="rId4"/>
    <sheet name="(Un)correlated variables" sheetId="5" r:id="rId5"/>
    <sheet name="Linear regression" sheetId="6" r:id="rId6"/>
  </sheets>
  <definedNames>
    <definedName name="_xlnm._FilterDatabase" localSheetId="4" hidden="1">'(Un)correlated variables'!$A$1:$C$70</definedName>
    <definedName name="_xlnm._FilterDatabase" localSheetId="5" hidden="1">'Linear regression'!$A$1:$B$139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5" l="1"/>
  <c r="E10" i="6"/>
  <c r="B4" i="6" l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3" i="6"/>
  <c r="A8" i="6"/>
  <c r="A83" i="6"/>
  <c r="A123" i="6"/>
  <c r="A38" i="6"/>
  <c r="A127" i="6"/>
  <c r="A45" i="6"/>
  <c r="A88" i="6"/>
  <c r="A5" i="6"/>
  <c r="A46" i="6"/>
  <c r="A39" i="6"/>
  <c r="A11" i="6"/>
  <c r="A30" i="6"/>
  <c r="A130" i="6"/>
  <c r="A70" i="6"/>
  <c r="A47" i="6"/>
  <c r="A9" i="6"/>
  <c r="A48" i="6"/>
  <c r="A24" i="6"/>
  <c r="A97" i="6"/>
  <c r="A124" i="6"/>
  <c r="A58" i="6"/>
  <c r="A49" i="6"/>
  <c r="A110" i="6"/>
  <c r="A18" i="6"/>
  <c r="A105" i="6"/>
  <c r="A98" i="6"/>
  <c r="A71" i="6"/>
  <c r="A111" i="6"/>
  <c r="A14" i="6"/>
  <c r="A131" i="6"/>
  <c r="A136" i="6"/>
  <c r="A99" i="6"/>
  <c r="A91" i="6"/>
  <c r="A31" i="6"/>
  <c r="A92" i="6"/>
  <c r="A121" i="6"/>
  <c r="A128" i="6"/>
  <c r="A106" i="6"/>
  <c r="A25" i="6"/>
  <c r="A115" i="6"/>
  <c r="A138" i="6"/>
  <c r="A100" i="6"/>
  <c r="A15" i="6"/>
  <c r="A17" i="6"/>
  <c r="A6" i="6"/>
  <c r="A53" i="6"/>
  <c r="A116" i="6"/>
  <c r="A40" i="6"/>
  <c r="A50" i="6"/>
  <c r="A89" i="6"/>
  <c r="A78" i="6"/>
  <c r="A72" i="6"/>
  <c r="A73" i="6"/>
  <c r="A64" i="6"/>
  <c r="A79" i="6"/>
  <c r="A22" i="6"/>
  <c r="A74" i="6"/>
  <c r="A101" i="6"/>
  <c r="A80" i="6"/>
  <c r="A33" i="6"/>
  <c r="A109" i="6"/>
  <c r="A118" i="6"/>
  <c r="A65" i="6"/>
  <c r="A54" i="6"/>
  <c r="A59" i="6"/>
  <c r="A26" i="6"/>
  <c r="A134" i="6"/>
  <c r="A84" i="6"/>
  <c r="A61" i="6"/>
  <c r="A117" i="6"/>
  <c r="A36" i="6"/>
  <c r="A44" i="6"/>
  <c r="A87" i="6"/>
  <c r="A76" i="6"/>
  <c r="A66" i="6"/>
  <c r="A77" i="6"/>
  <c r="A67" i="6"/>
  <c r="A68" i="6"/>
  <c r="A20" i="6"/>
  <c r="A69" i="6"/>
  <c r="A104" i="6"/>
  <c r="A81" i="6"/>
  <c r="A37" i="6"/>
  <c r="A108" i="6"/>
  <c r="A120" i="6"/>
  <c r="A63" i="6"/>
  <c r="A56" i="6"/>
  <c r="A57" i="6"/>
  <c r="A21" i="6"/>
  <c r="A135" i="6"/>
  <c r="A82" i="6"/>
  <c r="A3" i="6"/>
  <c r="A85" i="6"/>
  <c r="A125" i="6"/>
  <c r="A32" i="6"/>
  <c r="A129" i="6"/>
  <c r="A41" i="6"/>
  <c r="A86" i="6"/>
  <c r="A4" i="6"/>
  <c r="A42" i="6"/>
  <c r="A34" i="6"/>
  <c r="A10" i="6"/>
  <c r="A27" i="6"/>
  <c r="A132" i="6"/>
  <c r="A62" i="6"/>
  <c r="A35" i="6"/>
  <c r="A7" i="6"/>
  <c r="A43" i="6"/>
  <c r="A23" i="6"/>
  <c r="A93" i="6"/>
  <c r="A122" i="6"/>
  <c r="A55" i="6"/>
  <c r="A51" i="6"/>
  <c r="A112" i="6"/>
  <c r="A19" i="6"/>
  <c r="A107" i="6"/>
  <c r="A94" i="6"/>
  <c r="A75" i="6"/>
  <c r="A113" i="6"/>
  <c r="A12" i="6"/>
  <c r="A133" i="6"/>
  <c r="A137" i="6"/>
  <c r="A102" i="6"/>
  <c r="A90" i="6"/>
  <c r="A28" i="6"/>
  <c r="A95" i="6"/>
  <c r="A119" i="6"/>
  <c r="A126" i="6"/>
  <c r="A103" i="6"/>
  <c r="A29" i="6"/>
  <c r="A114" i="6"/>
  <c r="A139" i="6"/>
  <c r="A96" i="6"/>
  <c r="A13" i="6"/>
  <c r="A16" i="6"/>
  <c r="A2" i="6"/>
  <c r="A52" i="6"/>
  <c r="A60" i="6"/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2" i="5"/>
  <c r="E3" i="5"/>
  <c r="H2" i="5"/>
  <c r="B5" i="4"/>
  <c r="B10" i="4"/>
  <c r="B1" i="4" s="1"/>
  <c r="B11" i="4" s="1"/>
  <c r="B2" i="4"/>
  <c r="B3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" i="2"/>
  <c r="B7" i="4" l="1"/>
  <c r="B6" i="4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" i="2"/>
</calcChain>
</file>

<file path=xl/sharedStrings.xml><?xml version="1.0" encoding="utf-8"?>
<sst xmlns="http://schemas.openxmlformats.org/spreadsheetml/2006/main" count="28" uniqueCount="25">
  <si>
    <t>Probability</t>
  </si>
  <si>
    <t>Mean</t>
  </si>
  <si>
    <t>StdDev</t>
  </si>
  <si>
    <t>Data</t>
  </si>
  <si>
    <t>Groups</t>
  </si>
  <si>
    <t>EXPECTED VALUE</t>
  </si>
  <si>
    <t>COUNT</t>
  </si>
  <si>
    <t>CONFIDENCE RATE</t>
  </si>
  <si>
    <t>Estimation of p parameter</t>
  </si>
  <si>
    <t>Confidence interval (upper limit)</t>
  </si>
  <si>
    <t>Confidence interval (lower limit)</t>
  </si>
  <si>
    <t xml:space="preserve">STDDEV </t>
  </si>
  <si>
    <t>varianza p</t>
  </si>
  <si>
    <t>standar error p</t>
  </si>
  <si>
    <t>Sample data</t>
  </si>
  <si>
    <t>Number of cats</t>
  </si>
  <si>
    <t>Age of partner</t>
  </si>
  <si>
    <t>Correlation age and cats</t>
  </si>
  <si>
    <t>Correlazione negativa, all'aumentare di una variabile, l'altra diminuisce</t>
  </si>
  <si>
    <t>Desired correlation( r )</t>
  </si>
  <si>
    <t>r^2</t>
  </si>
  <si>
    <t>Actual correlation(r')</t>
  </si>
  <si>
    <t>Y (age)</t>
  </si>
  <si>
    <t>X (rank)</t>
  </si>
  <si>
    <t>Correlazione positiva, all'aumentare di una variabile, l'altra aumenta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</si>
</sst>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2060"/>
      <name val="Comic Sans MS"/>
      <family val="4"/>
    </font>
    <font>
      <sz val="11"/>
      <color theme="2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2" borderId="1" xfId="0" applyFont="1" applyFill="1" applyBorder="1"/>
    <xf numFmtId="0" fontId="0" fillId="2" borderId="4" xfId="0" applyFill="1" applyBorder="1"/>
    <xf numFmtId="0" fontId="1" fillId="2" borderId="5" xfId="0" applyFont="1" applyFill="1" applyBorder="1"/>
    <xf numFmtId="2" fontId="0" fillId="2" borderId="4" xfId="0" applyNumberFormat="1" applyFill="1" applyBorder="1"/>
    <xf numFmtId="0" fontId="2" fillId="2" borderId="0" xfId="0" applyFont="1" applyFill="1"/>
    <xf numFmtId="0" fontId="0" fillId="2" borderId="0" xfId="0" applyFill="1" applyAlignment="1">
      <alignment horizontal="center"/>
    </xf>
    <xf numFmtId="0" fontId="0" fillId="2" borderId="6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'Linear regression'!$B$1</c:f>
              <c:strCache>
                <c:ptCount val="1"/>
                <c:pt idx="0">
                  <c:v>X (rank)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'Linear regression'!$B$2:$B$139</c:f>
              <c:numCache>
                <c:formatCode>General</c:formatCode>
                <c:ptCount val="1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</c:numCache>
            </c:numRef>
          </c:xVal>
          <c:yVal>
            <c:numRef>
              <c:f>'Linear regression'!$A$2:$A$139</c:f>
              <c:numCache>
                <c:formatCode>General</c:formatCode>
                <c:ptCount val="138"/>
                <c:pt idx="0">
                  <c:v>14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20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28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  <c:pt idx="30">
                  <c:v>30</c:v>
                </c:pt>
                <c:pt idx="31">
                  <c:v>30</c:v>
                </c:pt>
                <c:pt idx="32">
                  <c:v>31</c:v>
                </c:pt>
                <c:pt idx="33">
                  <c:v>31</c:v>
                </c:pt>
                <c:pt idx="34">
                  <c:v>31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31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32</c:v>
                </c:pt>
                <c:pt idx="48">
                  <c:v>32</c:v>
                </c:pt>
                <c:pt idx="49">
                  <c:v>33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35</c:v>
                </c:pt>
                <c:pt idx="59">
                  <c:v>35</c:v>
                </c:pt>
                <c:pt idx="60">
                  <c:v>36</c:v>
                </c:pt>
                <c:pt idx="61">
                  <c:v>36</c:v>
                </c:pt>
                <c:pt idx="62">
                  <c:v>36</c:v>
                </c:pt>
                <c:pt idx="63">
                  <c:v>36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37</c:v>
                </c:pt>
                <c:pt idx="71">
                  <c:v>37</c:v>
                </c:pt>
                <c:pt idx="72">
                  <c:v>37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38</c:v>
                </c:pt>
                <c:pt idx="78">
                  <c:v>38</c:v>
                </c:pt>
                <c:pt idx="79">
                  <c:v>39</c:v>
                </c:pt>
                <c:pt idx="80">
                  <c:v>39</c:v>
                </c:pt>
                <c:pt idx="81">
                  <c:v>39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40</c:v>
                </c:pt>
                <c:pt idx="87">
                  <c:v>40</c:v>
                </c:pt>
                <c:pt idx="88">
                  <c:v>41</c:v>
                </c:pt>
                <c:pt idx="89">
                  <c:v>41</c:v>
                </c:pt>
                <c:pt idx="90">
                  <c:v>41</c:v>
                </c:pt>
                <c:pt idx="91">
                  <c:v>42</c:v>
                </c:pt>
                <c:pt idx="92">
                  <c:v>42</c:v>
                </c:pt>
                <c:pt idx="93">
                  <c:v>42</c:v>
                </c:pt>
                <c:pt idx="94">
                  <c:v>42</c:v>
                </c:pt>
                <c:pt idx="95">
                  <c:v>42</c:v>
                </c:pt>
                <c:pt idx="96">
                  <c:v>42</c:v>
                </c:pt>
                <c:pt idx="97">
                  <c:v>42</c:v>
                </c:pt>
                <c:pt idx="98">
                  <c:v>42</c:v>
                </c:pt>
                <c:pt idx="99">
                  <c:v>42</c:v>
                </c:pt>
                <c:pt idx="100">
                  <c:v>43</c:v>
                </c:pt>
                <c:pt idx="101">
                  <c:v>43</c:v>
                </c:pt>
                <c:pt idx="102">
                  <c:v>43</c:v>
                </c:pt>
                <c:pt idx="103">
                  <c:v>43</c:v>
                </c:pt>
                <c:pt idx="104">
                  <c:v>43</c:v>
                </c:pt>
                <c:pt idx="105">
                  <c:v>44</c:v>
                </c:pt>
                <c:pt idx="106">
                  <c:v>44</c:v>
                </c:pt>
                <c:pt idx="107">
                  <c:v>44</c:v>
                </c:pt>
                <c:pt idx="108">
                  <c:v>45</c:v>
                </c:pt>
                <c:pt idx="109">
                  <c:v>45</c:v>
                </c:pt>
                <c:pt idx="110">
                  <c:v>46</c:v>
                </c:pt>
                <c:pt idx="111">
                  <c:v>46</c:v>
                </c:pt>
                <c:pt idx="112">
                  <c:v>46</c:v>
                </c:pt>
                <c:pt idx="113">
                  <c:v>46</c:v>
                </c:pt>
                <c:pt idx="114">
                  <c:v>46</c:v>
                </c:pt>
                <c:pt idx="115">
                  <c:v>47</c:v>
                </c:pt>
                <c:pt idx="116">
                  <c:v>47</c:v>
                </c:pt>
                <c:pt idx="117">
                  <c:v>48</c:v>
                </c:pt>
                <c:pt idx="118">
                  <c:v>48</c:v>
                </c:pt>
                <c:pt idx="119">
                  <c:v>48</c:v>
                </c:pt>
                <c:pt idx="120">
                  <c:v>49</c:v>
                </c:pt>
                <c:pt idx="121">
                  <c:v>49</c:v>
                </c:pt>
                <c:pt idx="122">
                  <c:v>49</c:v>
                </c:pt>
                <c:pt idx="123">
                  <c:v>50</c:v>
                </c:pt>
                <c:pt idx="124">
                  <c:v>51</c:v>
                </c:pt>
                <c:pt idx="125">
                  <c:v>51</c:v>
                </c:pt>
                <c:pt idx="126">
                  <c:v>51</c:v>
                </c:pt>
                <c:pt idx="127">
                  <c:v>52</c:v>
                </c:pt>
                <c:pt idx="128">
                  <c:v>57</c:v>
                </c:pt>
                <c:pt idx="129">
                  <c:v>57</c:v>
                </c:pt>
                <c:pt idx="130">
                  <c:v>58</c:v>
                </c:pt>
                <c:pt idx="131">
                  <c:v>58</c:v>
                </c:pt>
                <c:pt idx="132">
                  <c:v>58</c:v>
                </c:pt>
                <c:pt idx="133">
                  <c:v>59</c:v>
                </c:pt>
                <c:pt idx="134">
                  <c:v>67</c:v>
                </c:pt>
                <c:pt idx="135">
                  <c:v>68</c:v>
                </c:pt>
                <c:pt idx="136">
                  <c:v>72</c:v>
                </c:pt>
                <c:pt idx="137">
                  <c:v>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2F-40C1-9153-C71C1B516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052703"/>
        <c:axId val="79652079"/>
      </c:scatterChart>
      <c:valAx>
        <c:axId val="158052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Rank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9652079"/>
        <c:crosses val="autoZero"/>
        <c:crossBetween val="midCat"/>
      </c:valAx>
      <c:valAx>
        <c:axId val="7965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8052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11</xdr:row>
      <xdr:rowOff>106680</xdr:rowOff>
    </xdr:from>
    <xdr:to>
      <xdr:col>1</xdr:col>
      <xdr:colOff>1363980</xdr:colOff>
      <xdr:row>15</xdr:row>
      <xdr:rowOff>91440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213DEB57-CE3C-0651-608C-3A62F9255355}"/>
            </a:ext>
          </a:extLst>
        </xdr:cNvPr>
        <xdr:cNvSpPr txBox="1"/>
      </xdr:nvSpPr>
      <xdr:spPr>
        <a:xfrm>
          <a:off x="45720" y="2545080"/>
          <a:ext cx="3703320" cy="7162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Co</a:t>
          </a:r>
          <a:r>
            <a:rPr lang="it-IT" sz="1100" baseline="0"/>
            <a:t>n una probabilità pari al 95% la media della popolazione da cui è stato estratto il campione è compresa tra 34,94059927 e 39,87099493</a:t>
          </a:r>
          <a:endParaRPr lang="it-I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198120</xdr:colOff>
      <xdr:row>0</xdr:row>
      <xdr:rowOff>186690</xdr:rowOff>
    </xdr:from>
    <xdr:to>
      <xdr:col>16</xdr:col>
      <xdr:colOff>175260</xdr:colOff>
      <xdr:row>17</xdr:row>
      <xdr:rowOff>68580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5E04D485-BD4C-B363-BD36-9FE667CDE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182880</xdr:colOff>
      <xdr:row>18</xdr:row>
      <xdr:rowOff>83820</xdr:rowOff>
    </xdr:from>
    <xdr:to>
      <xdr:col>16</xdr:col>
      <xdr:colOff>236220</xdr:colOff>
      <xdr:row>22</xdr:row>
      <xdr:rowOff>137160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D8FCCDA2-C9D2-02BE-A524-85768B7EDE54}"/>
            </a:ext>
          </a:extLst>
        </xdr:cNvPr>
        <xdr:cNvSpPr txBox="1"/>
      </xdr:nvSpPr>
      <xdr:spPr>
        <a:xfrm>
          <a:off x="4465320" y="3436620"/>
          <a:ext cx="6149340" cy="784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Sulla base del grafico</a:t>
          </a:r>
          <a:r>
            <a:rPr lang="it-IT" sz="1100" baseline="0"/>
            <a:t> a dispersione, si può constatare come all'aumentare del numero progressivo delle persone censite, aumenti l'età delle persone facenti parte del campione. Il censimento è avvenuto in modo crescente dal soggetto più giovane a quello più anziano</a:t>
          </a:r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" sqref="B1"/>
    </sheetView>
  </sheetViews>
  <sheetFormatPr defaultRowHeight="14.4" x14ac:dyDescent="0.3"/>
  <cols>
    <col min="1" max="1" width="16.5546875" style="2" customWidth="1"/>
    <col min="2" max="16384" width="8.88671875" style="2"/>
  </cols>
  <sheetData>
    <row r="1" spans="1:2" ht="19.2" thickBot="1" x14ac:dyDescent="0.5">
      <c r="A1" s="7" t="s">
        <v>0</v>
      </c>
      <c r="B1" s="13">
        <v>0.7</v>
      </c>
    </row>
    <row r="2" spans="1:2" ht="19.2" thickBot="1" x14ac:dyDescent="0.5">
      <c r="A2" s="7" t="s">
        <v>1</v>
      </c>
      <c r="B2" s="8">
        <v>40</v>
      </c>
    </row>
    <row r="3" spans="1:2" ht="19.2" thickBot="1" x14ac:dyDescent="0.5">
      <c r="A3" s="9" t="s">
        <v>2</v>
      </c>
      <c r="B3" s="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1"/>
  <sheetViews>
    <sheetView workbookViewId="0">
      <selection activeCell="A2" sqref="A2"/>
    </sheetView>
  </sheetViews>
  <sheetFormatPr defaultRowHeight="14.4" x14ac:dyDescent="0.3"/>
  <cols>
    <col min="1" max="16384" width="8.88671875" style="2"/>
  </cols>
  <sheetData>
    <row r="1" spans="1:2" ht="19.2" thickBot="1" x14ac:dyDescent="0.5">
      <c r="A1" s="1" t="s">
        <v>3</v>
      </c>
      <c r="B1" s="1" t="s">
        <v>4</v>
      </c>
    </row>
    <row r="2" spans="1:2" x14ac:dyDescent="0.3">
      <c r="A2" s="6">
        <f ca="1">ROUND(_xlfn.NORM.INV(RAND(),Parameters!$B$2,Parameters!$B$3),0)</f>
        <v>32</v>
      </c>
      <c r="B2" s="3">
        <f ca="1">RANDBETWEEN(1,4)</f>
        <v>2</v>
      </c>
    </row>
    <row r="3" spans="1:2" x14ac:dyDescent="0.3">
      <c r="A3" s="5">
        <f ca="1">ROUND(_xlfn.NORM.INV(RAND(),Parameters!$B$2,Parameters!$B$3),0)</f>
        <v>27</v>
      </c>
      <c r="B3" s="4">
        <f t="shared" ref="B3:B66" ca="1" si="0">RANDBETWEEN(1,4)</f>
        <v>4</v>
      </c>
    </row>
    <row r="4" spans="1:2" x14ac:dyDescent="0.3">
      <c r="A4" s="5">
        <f ca="1">ROUND(_xlfn.NORM.INV(RAND(),Parameters!$B$2,Parameters!$B$3),0)</f>
        <v>43</v>
      </c>
      <c r="B4" s="4">
        <f t="shared" ca="1" si="0"/>
        <v>2</v>
      </c>
    </row>
    <row r="5" spans="1:2" x14ac:dyDescent="0.3">
      <c r="A5" s="5">
        <f ca="1">ROUND(_xlfn.NORM.INV(RAND(),Parameters!$B$2,Parameters!$B$3),0)</f>
        <v>44</v>
      </c>
      <c r="B5" s="4">
        <f t="shared" ca="1" si="0"/>
        <v>1</v>
      </c>
    </row>
    <row r="6" spans="1:2" x14ac:dyDescent="0.3">
      <c r="A6" s="5">
        <f ca="1">ROUND(_xlfn.NORM.INV(RAND(),Parameters!$B$2,Parameters!$B$3),0)</f>
        <v>38</v>
      </c>
      <c r="B6" s="4">
        <f t="shared" ca="1" si="0"/>
        <v>4</v>
      </c>
    </row>
    <row r="7" spans="1:2" x14ac:dyDescent="0.3">
      <c r="A7" s="5">
        <f ca="1">ROUND(_xlfn.NORM.INV(RAND(),Parameters!$B$2,Parameters!$B$3),0)</f>
        <v>37</v>
      </c>
      <c r="B7" s="4">
        <f t="shared" ca="1" si="0"/>
        <v>2</v>
      </c>
    </row>
    <row r="8" spans="1:2" x14ac:dyDescent="0.3">
      <c r="A8" s="5">
        <f ca="1">ROUND(_xlfn.NORM.INV(RAND(),Parameters!$B$2,Parameters!$B$3),0)</f>
        <v>19</v>
      </c>
      <c r="B8" s="4">
        <f t="shared" ca="1" si="0"/>
        <v>1</v>
      </c>
    </row>
    <row r="9" spans="1:2" x14ac:dyDescent="0.3">
      <c r="A9" s="5">
        <f ca="1">ROUND(_xlfn.NORM.INV(RAND(),Parameters!$B$2,Parameters!$B$3),0)</f>
        <v>52</v>
      </c>
      <c r="B9" s="4">
        <f t="shared" ca="1" si="0"/>
        <v>1</v>
      </c>
    </row>
    <row r="10" spans="1:2" x14ac:dyDescent="0.3">
      <c r="A10" s="5">
        <f ca="1">ROUND(_xlfn.NORM.INV(RAND(),Parameters!$B$2,Parameters!$B$3),0)</f>
        <v>39</v>
      </c>
      <c r="B10" s="4">
        <f t="shared" ca="1" si="0"/>
        <v>2</v>
      </c>
    </row>
    <row r="11" spans="1:2" x14ac:dyDescent="0.3">
      <c r="A11" s="5">
        <f ca="1">ROUND(_xlfn.NORM.INV(RAND(),Parameters!$B$2,Parameters!$B$3),0)</f>
        <v>39</v>
      </c>
      <c r="B11" s="4">
        <f t="shared" ca="1" si="0"/>
        <v>1</v>
      </c>
    </row>
    <row r="12" spans="1:2" x14ac:dyDescent="0.3">
      <c r="A12" s="5">
        <f ca="1">ROUND(_xlfn.NORM.INV(RAND(),Parameters!$B$2,Parameters!$B$3),0)</f>
        <v>42</v>
      </c>
      <c r="B12" s="4">
        <f t="shared" ca="1" si="0"/>
        <v>1</v>
      </c>
    </row>
    <row r="13" spans="1:2" x14ac:dyDescent="0.3">
      <c r="A13" s="5">
        <f ca="1">ROUND(_xlfn.NORM.INV(RAND(),Parameters!$B$2,Parameters!$B$3),0)</f>
        <v>55</v>
      </c>
      <c r="B13" s="4">
        <f t="shared" ca="1" si="0"/>
        <v>2</v>
      </c>
    </row>
    <row r="14" spans="1:2" x14ac:dyDescent="0.3">
      <c r="A14" s="5">
        <f ca="1">ROUND(_xlfn.NORM.INV(RAND(),Parameters!$B$2,Parameters!$B$3),0)</f>
        <v>49</v>
      </c>
      <c r="B14" s="4">
        <f t="shared" ca="1" si="0"/>
        <v>3</v>
      </c>
    </row>
    <row r="15" spans="1:2" x14ac:dyDescent="0.3">
      <c r="A15" s="5">
        <f ca="1">ROUND(_xlfn.NORM.INV(RAND(),Parameters!$B$2,Parameters!$B$3),0)</f>
        <v>50</v>
      </c>
      <c r="B15" s="4">
        <f t="shared" ca="1" si="0"/>
        <v>2</v>
      </c>
    </row>
    <row r="16" spans="1:2" x14ac:dyDescent="0.3">
      <c r="A16" s="5">
        <f ca="1">ROUND(_xlfn.NORM.INV(RAND(),Parameters!$B$2,Parameters!$B$3),0)</f>
        <v>29</v>
      </c>
      <c r="B16" s="4">
        <f t="shared" ca="1" si="0"/>
        <v>1</v>
      </c>
    </row>
    <row r="17" spans="1:2" x14ac:dyDescent="0.3">
      <c r="A17" s="5">
        <f ca="1">ROUND(_xlfn.NORM.INV(RAND(),Parameters!$B$2,Parameters!$B$3),0)</f>
        <v>25</v>
      </c>
      <c r="B17" s="4">
        <f t="shared" ca="1" si="0"/>
        <v>2</v>
      </c>
    </row>
    <row r="18" spans="1:2" x14ac:dyDescent="0.3">
      <c r="A18" s="5">
        <f ca="1">ROUND(_xlfn.NORM.INV(RAND(),Parameters!$B$2,Parameters!$B$3),0)</f>
        <v>43</v>
      </c>
      <c r="B18" s="4">
        <f t="shared" ca="1" si="0"/>
        <v>1</v>
      </c>
    </row>
    <row r="19" spans="1:2" x14ac:dyDescent="0.3">
      <c r="A19" s="5">
        <f ca="1">ROUND(_xlfn.NORM.INV(RAND(),Parameters!$B$2,Parameters!$B$3),0)</f>
        <v>41</v>
      </c>
      <c r="B19" s="4">
        <f t="shared" ca="1" si="0"/>
        <v>3</v>
      </c>
    </row>
    <row r="20" spans="1:2" x14ac:dyDescent="0.3">
      <c r="A20" s="5">
        <f ca="1">ROUND(_xlfn.NORM.INV(RAND(),Parameters!$B$2,Parameters!$B$3),0)</f>
        <v>54</v>
      </c>
      <c r="B20" s="4">
        <f t="shared" ca="1" si="0"/>
        <v>2</v>
      </c>
    </row>
    <row r="21" spans="1:2" x14ac:dyDescent="0.3">
      <c r="A21" s="5">
        <f ca="1">ROUND(_xlfn.NORM.INV(RAND(),Parameters!$B$2,Parameters!$B$3),0)</f>
        <v>30</v>
      </c>
      <c r="B21" s="4">
        <f t="shared" ca="1" si="0"/>
        <v>3</v>
      </c>
    </row>
    <row r="22" spans="1:2" x14ac:dyDescent="0.3">
      <c r="A22" s="5">
        <f ca="1">ROUND(_xlfn.NORM.INV(RAND(),Parameters!$B$2,Parameters!$B$3),0)</f>
        <v>30</v>
      </c>
      <c r="B22" s="4">
        <f t="shared" ca="1" si="0"/>
        <v>1</v>
      </c>
    </row>
    <row r="23" spans="1:2" x14ac:dyDescent="0.3">
      <c r="A23" s="5">
        <f ca="1">ROUND(_xlfn.NORM.INV(RAND(),Parameters!$B$2,Parameters!$B$3),0)</f>
        <v>41</v>
      </c>
      <c r="B23" s="4">
        <f t="shared" ca="1" si="0"/>
        <v>4</v>
      </c>
    </row>
    <row r="24" spans="1:2" x14ac:dyDescent="0.3">
      <c r="A24" s="5">
        <f ca="1">ROUND(_xlfn.NORM.INV(RAND(),Parameters!$B$2,Parameters!$B$3),0)</f>
        <v>33</v>
      </c>
      <c r="B24" s="4">
        <f t="shared" ca="1" si="0"/>
        <v>3</v>
      </c>
    </row>
    <row r="25" spans="1:2" x14ac:dyDescent="0.3">
      <c r="A25" s="5">
        <f ca="1">ROUND(_xlfn.NORM.INV(RAND(),Parameters!$B$2,Parameters!$B$3),0)</f>
        <v>46</v>
      </c>
      <c r="B25" s="4">
        <f t="shared" ca="1" si="0"/>
        <v>3</v>
      </c>
    </row>
    <row r="26" spans="1:2" x14ac:dyDescent="0.3">
      <c r="A26" s="5">
        <f ca="1">ROUND(_xlfn.NORM.INV(RAND(),Parameters!$B$2,Parameters!$B$3),0)</f>
        <v>34</v>
      </c>
      <c r="B26" s="4">
        <f t="shared" ca="1" si="0"/>
        <v>4</v>
      </c>
    </row>
    <row r="27" spans="1:2" x14ac:dyDescent="0.3">
      <c r="A27" s="5">
        <f ca="1">ROUND(_xlfn.NORM.INV(RAND(),Parameters!$B$2,Parameters!$B$3),0)</f>
        <v>50</v>
      </c>
      <c r="B27" s="4">
        <f t="shared" ca="1" si="0"/>
        <v>4</v>
      </c>
    </row>
    <row r="28" spans="1:2" x14ac:dyDescent="0.3">
      <c r="A28" s="5">
        <f ca="1">ROUND(_xlfn.NORM.INV(RAND(),Parameters!$B$2,Parameters!$B$3),0)</f>
        <v>28</v>
      </c>
      <c r="B28" s="4">
        <f t="shared" ca="1" si="0"/>
        <v>3</v>
      </c>
    </row>
    <row r="29" spans="1:2" x14ac:dyDescent="0.3">
      <c r="A29" s="5">
        <f ca="1">ROUND(_xlfn.NORM.INV(RAND(),Parameters!$B$2,Parameters!$B$3),0)</f>
        <v>31</v>
      </c>
      <c r="B29" s="4">
        <f t="shared" ca="1" si="0"/>
        <v>3</v>
      </c>
    </row>
    <row r="30" spans="1:2" x14ac:dyDescent="0.3">
      <c r="A30" s="5">
        <f ca="1">ROUND(_xlfn.NORM.INV(RAND(),Parameters!$B$2,Parameters!$B$3),0)</f>
        <v>41</v>
      </c>
      <c r="B30" s="4">
        <f t="shared" ca="1" si="0"/>
        <v>1</v>
      </c>
    </row>
    <row r="31" spans="1:2" x14ac:dyDescent="0.3">
      <c r="A31" s="5">
        <f ca="1">ROUND(_xlfn.NORM.INV(RAND(),Parameters!$B$2,Parameters!$B$3),0)</f>
        <v>54</v>
      </c>
      <c r="B31" s="4">
        <f t="shared" ca="1" si="0"/>
        <v>1</v>
      </c>
    </row>
    <row r="32" spans="1:2" x14ac:dyDescent="0.3">
      <c r="A32" s="5">
        <f ca="1">ROUND(_xlfn.NORM.INV(RAND(),Parameters!$B$2,Parameters!$B$3),0)</f>
        <v>42</v>
      </c>
      <c r="B32" s="4">
        <f t="shared" ca="1" si="0"/>
        <v>4</v>
      </c>
    </row>
    <row r="33" spans="1:2" x14ac:dyDescent="0.3">
      <c r="A33" s="5">
        <f ca="1">ROUND(_xlfn.NORM.INV(RAND(),Parameters!$B$2,Parameters!$B$3),0)</f>
        <v>25</v>
      </c>
      <c r="B33" s="4">
        <f t="shared" ca="1" si="0"/>
        <v>2</v>
      </c>
    </row>
    <row r="34" spans="1:2" x14ac:dyDescent="0.3">
      <c r="A34" s="5">
        <f ca="1">ROUND(_xlfn.NORM.INV(RAND(),Parameters!$B$2,Parameters!$B$3),0)</f>
        <v>52</v>
      </c>
      <c r="B34" s="4">
        <f t="shared" ca="1" si="0"/>
        <v>2</v>
      </c>
    </row>
    <row r="35" spans="1:2" x14ac:dyDescent="0.3">
      <c r="A35" s="5">
        <f ca="1">ROUND(_xlfn.NORM.INV(RAND(),Parameters!$B$2,Parameters!$B$3),0)</f>
        <v>40</v>
      </c>
      <c r="B35" s="4">
        <f t="shared" ca="1" si="0"/>
        <v>1</v>
      </c>
    </row>
    <row r="36" spans="1:2" x14ac:dyDescent="0.3">
      <c r="A36" s="5">
        <f ca="1">ROUND(_xlfn.NORM.INV(RAND(),Parameters!$B$2,Parameters!$B$3),0)</f>
        <v>39</v>
      </c>
      <c r="B36" s="4">
        <f t="shared" ca="1" si="0"/>
        <v>1</v>
      </c>
    </row>
    <row r="37" spans="1:2" x14ac:dyDescent="0.3">
      <c r="A37" s="5">
        <f ca="1">ROUND(_xlfn.NORM.INV(RAND(),Parameters!$B$2,Parameters!$B$3),0)</f>
        <v>19</v>
      </c>
      <c r="B37" s="4">
        <f t="shared" ca="1" si="0"/>
        <v>1</v>
      </c>
    </row>
    <row r="38" spans="1:2" x14ac:dyDescent="0.3">
      <c r="A38" s="5">
        <f ca="1">ROUND(_xlfn.NORM.INV(RAND(),Parameters!$B$2,Parameters!$B$3),0)</f>
        <v>47</v>
      </c>
      <c r="B38" s="4">
        <f t="shared" ca="1" si="0"/>
        <v>1</v>
      </c>
    </row>
    <row r="39" spans="1:2" x14ac:dyDescent="0.3">
      <c r="A39" s="5">
        <f ca="1">ROUND(_xlfn.NORM.INV(RAND(),Parameters!$B$2,Parameters!$B$3),0)</f>
        <v>47</v>
      </c>
      <c r="B39" s="4">
        <f t="shared" ca="1" si="0"/>
        <v>1</v>
      </c>
    </row>
    <row r="40" spans="1:2" x14ac:dyDescent="0.3">
      <c r="A40" s="5">
        <f ca="1">ROUND(_xlfn.NORM.INV(RAND(),Parameters!$B$2,Parameters!$B$3),0)</f>
        <v>50</v>
      </c>
      <c r="B40" s="4">
        <f t="shared" ca="1" si="0"/>
        <v>2</v>
      </c>
    </row>
    <row r="41" spans="1:2" x14ac:dyDescent="0.3">
      <c r="A41" s="5">
        <f ca="1">ROUND(_xlfn.NORM.INV(RAND(),Parameters!$B$2,Parameters!$B$3),0)</f>
        <v>36</v>
      </c>
      <c r="B41" s="4">
        <f t="shared" ca="1" si="0"/>
        <v>2</v>
      </c>
    </row>
    <row r="42" spans="1:2" x14ac:dyDescent="0.3">
      <c r="A42" s="5">
        <f ca="1">ROUND(_xlfn.NORM.INV(RAND(),Parameters!$B$2,Parameters!$B$3),0)</f>
        <v>40</v>
      </c>
      <c r="B42" s="4">
        <f t="shared" ca="1" si="0"/>
        <v>2</v>
      </c>
    </row>
    <row r="43" spans="1:2" x14ac:dyDescent="0.3">
      <c r="A43" s="5">
        <f ca="1">ROUND(_xlfn.NORM.INV(RAND(),Parameters!$B$2,Parameters!$B$3),0)</f>
        <v>35</v>
      </c>
      <c r="B43" s="4">
        <f t="shared" ca="1" si="0"/>
        <v>3</v>
      </c>
    </row>
    <row r="44" spans="1:2" x14ac:dyDescent="0.3">
      <c r="A44" s="5">
        <f ca="1">ROUND(_xlfn.NORM.INV(RAND(),Parameters!$B$2,Parameters!$B$3),0)</f>
        <v>46</v>
      </c>
      <c r="B44" s="4">
        <f t="shared" ca="1" si="0"/>
        <v>2</v>
      </c>
    </row>
    <row r="45" spans="1:2" x14ac:dyDescent="0.3">
      <c r="A45" s="5">
        <f ca="1">ROUND(_xlfn.NORM.INV(RAND(),Parameters!$B$2,Parameters!$B$3),0)</f>
        <v>56</v>
      </c>
      <c r="B45" s="4">
        <f t="shared" ca="1" si="0"/>
        <v>4</v>
      </c>
    </row>
    <row r="46" spans="1:2" x14ac:dyDescent="0.3">
      <c r="A46" s="5">
        <f ca="1">ROUND(_xlfn.NORM.INV(RAND(),Parameters!$B$2,Parameters!$B$3),0)</f>
        <v>32</v>
      </c>
      <c r="B46" s="4">
        <f t="shared" ca="1" si="0"/>
        <v>1</v>
      </c>
    </row>
    <row r="47" spans="1:2" x14ac:dyDescent="0.3">
      <c r="A47" s="5">
        <f ca="1">ROUND(_xlfn.NORM.INV(RAND(),Parameters!$B$2,Parameters!$B$3),0)</f>
        <v>55</v>
      </c>
      <c r="B47" s="4">
        <f t="shared" ca="1" si="0"/>
        <v>2</v>
      </c>
    </row>
    <row r="48" spans="1:2" x14ac:dyDescent="0.3">
      <c r="A48" s="5">
        <f ca="1">ROUND(_xlfn.NORM.INV(RAND(),Parameters!$B$2,Parameters!$B$3),0)</f>
        <v>32</v>
      </c>
      <c r="B48" s="4">
        <f t="shared" ca="1" si="0"/>
        <v>1</v>
      </c>
    </row>
    <row r="49" spans="1:2" x14ac:dyDescent="0.3">
      <c r="A49" s="5">
        <f ca="1">ROUND(_xlfn.NORM.INV(RAND(),Parameters!$B$2,Parameters!$B$3),0)</f>
        <v>34</v>
      </c>
      <c r="B49" s="4">
        <f t="shared" ca="1" si="0"/>
        <v>4</v>
      </c>
    </row>
    <row r="50" spans="1:2" x14ac:dyDescent="0.3">
      <c r="A50" s="5">
        <f ca="1">ROUND(_xlfn.NORM.INV(RAND(),Parameters!$B$2,Parameters!$B$3),0)</f>
        <v>36</v>
      </c>
      <c r="B50" s="4">
        <f t="shared" ca="1" si="0"/>
        <v>4</v>
      </c>
    </row>
    <row r="51" spans="1:2" x14ac:dyDescent="0.3">
      <c r="A51" s="5">
        <f ca="1">ROUND(_xlfn.NORM.INV(RAND(),Parameters!$B$2,Parameters!$B$3),0)</f>
        <v>24</v>
      </c>
      <c r="B51" s="4">
        <f t="shared" ca="1" si="0"/>
        <v>2</v>
      </c>
    </row>
    <row r="52" spans="1:2" x14ac:dyDescent="0.3">
      <c r="A52" s="5">
        <f ca="1">ROUND(_xlfn.NORM.INV(RAND(),Parameters!$B$2,Parameters!$B$3),0)</f>
        <v>60</v>
      </c>
      <c r="B52" s="4">
        <f t="shared" ca="1" si="0"/>
        <v>3</v>
      </c>
    </row>
    <row r="53" spans="1:2" x14ac:dyDescent="0.3">
      <c r="A53" s="5">
        <f ca="1">ROUND(_xlfn.NORM.INV(RAND(),Parameters!$B$2,Parameters!$B$3),0)</f>
        <v>42</v>
      </c>
      <c r="B53" s="4">
        <f t="shared" ca="1" si="0"/>
        <v>2</v>
      </c>
    </row>
    <row r="54" spans="1:2" x14ac:dyDescent="0.3">
      <c r="A54" s="5">
        <f ca="1">ROUND(_xlfn.NORM.INV(RAND(),Parameters!$B$2,Parameters!$B$3),0)</f>
        <v>30</v>
      </c>
      <c r="B54" s="4">
        <f t="shared" ca="1" si="0"/>
        <v>2</v>
      </c>
    </row>
    <row r="55" spans="1:2" x14ac:dyDescent="0.3">
      <c r="A55" s="5">
        <f ca="1">ROUND(_xlfn.NORM.INV(RAND(),Parameters!$B$2,Parameters!$B$3),0)</f>
        <v>49</v>
      </c>
      <c r="B55" s="4">
        <f t="shared" ca="1" si="0"/>
        <v>1</v>
      </c>
    </row>
    <row r="56" spans="1:2" x14ac:dyDescent="0.3">
      <c r="A56" s="5">
        <f ca="1">ROUND(_xlfn.NORM.INV(RAND(),Parameters!$B$2,Parameters!$B$3),0)</f>
        <v>45</v>
      </c>
      <c r="B56" s="4">
        <f t="shared" ca="1" si="0"/>
        <v>1</v>
      </c>
    </row>
    <row r="57" spans="1:2" x14ac:dyDescent="0.3">
      <c r="A57" s="5">
        <f ca="1">ROUND(_xlfn.NORM.INV(RAND(),Parameters!$B$2,Parameters!$B$3),0)</f>
        <v>32</v>
      </c>
      <c r="B57" s="4">
        <f t="shared" ca="1" si="0"/>
        <v>2</v>
      </c>
    </row>
    <row r="58" spans="1:2" x14ac:dyDescent="0.3">
      <c r="A58" s="5">
        <f ca="1">ROUND(_xlfn.NORM.INV(RAND(),Parameters!$B$2,Parameters!$B$3),0)</f>
        <v>40</v>
      </c>
      <c r="B58" s="4">
        <f t="shared" ca="1" si="0"/>
        <v>2</v>
      </c>
    </row>
    <row r="59" spans="1:2" x14ac:dyDescent="0.3">
      <c r="A59" s="5">
        <f ca="1">ROUND(_xlfn.NORM.INV(RAND(),Parameters!$B$2,Parameters!$B$3),0)</f>
        <v>33</v>
      </c>
      <c r="B59" s="4">
        <f t="shared" ca="1" si="0"/>
        <v>4</v>
      </c>
    </row>
    <row r="60" spans="1:2" x14ac:dyDescent="0.3">
      <c r="A60" s="5">
        <f ca="1">ROUND(_xlfn.NORM.INV(RAND(),Parameters!$B$2,Parameters!$B$3),0)</f>
        <v>46</v>
      </c>
      <c r="B60" s="4">
        <f t="shared" ca="1" si="0"/>
        <v>3</v>
      </c>
    </row>
    <row r="61" spans="1:2" x14ac:dyDescent="0.3">
      <c r="A61" s="5">
        <f ca="1">ROUND(_xlfn.NORM.INV(RAND(),Parameters!$B$2,Parameters!$B$3),0)</f>
        <v>57</v>
      </c>
      <c r="B61" s="4">
        <f t="shared" ca="1" si="0"/>
        <v>3</v>
      </c>
    </row>
    <row r="62" spans="1:2" x14ac:dyDescent="0.3">
      <c r="A62" s="5">
        <f ca="1">ROUND(_xlfn.NORM.INV(RAND(),Parameters!$B$2,Parameters!$B$3),0)</f>
        <v>40</v>
      </c>
      <c r="B62" s="4">
        <f t="shared" ca="1" si="0"/>
        <v>4</v>
      </c>
    </row>
    <row r="63" spans="1:2" x14ac:dyDescent="0.3">
      <c r="A63" s="5">
        <f ca="1">ROUND(_xlfn.NORM.INV(RAND(),Parameters!$B$2,Parameters!$B$3),0)</f>
        <v>47</v>
      </c>
      <c r="B63" s="4">
        <f t="shared" ca="1" si="0"/>
        <v>1</v>
      </c>
    </row>
    <row r="64" spans="1:2" x14ac:dyDescent="0.3">
      <c r="A64" s="5">
        <f ca="1">ROUND(_xlfn.NORM.INV(RAND(),Parameters!$B$2,Parameters!$B$3),0)</f>
        <v>46</v>
      </c>
      <c r="B64" s="4">
        <f t="shared" ca="1" si="0"/>
        <v>4</v>
      </c>
    </row>
    <row r="65" spans="1:2" x14ac:dyDescent="0.3">
      <c r="A65" s="5">
        <f ca="1">ROUND(_xlfn.NORM.INV(RAND(),Parameters!$B$2,Parameters!$B$3),0)</f>
        <v>37</v>
      </c>
      <c r="B65" s="4">
        <f t="shared" ca="1" si="0"/>
        <v>2</v>
      </c>
    </row>
    <row r="66" spans="1:2" x14ac:dyDescent="0.3">
      <c r="A66" s="5">
        <f ca="1">ROUND(_xlfn.NORM.INV(RAND(),Parameters!$B$2,Parameters!$B$3),0)</f>
        <v>39</v>
      </c>
      <c r="B66" s="4">
        <f t="shared" ca="1" si="0"/>
        <v>3</v>
      </c>
    </row>
    <row r="67" spans="1:2" x14ac:dyDescent="0.3">
      <c r="A67" s="5">
        <f ca="1">ROUND(_xlfn.NORM.INV(RAND(),Parameters!$B$2,Parameters!$B$3),0)</f>
        <v>53</v>
      </c>
      <c r="B67" s="4">
        <f t="shared" ref="B67:B130" ca="1" si="1">RANDBETWEEN(1,4)</f>
        <v>3</v>
      </c>
    </row>
    <row r="68" spans="1:2" x14ac:dyDescent="0.3">
      <c r="A68" s="5">
        <f ca="1">ROUND(_xlfn.NORM.INV(RAND(),Parameters!$B$2,Parameters!$B$3),0)</f>
        <v>27</v>
      </c>
      <c r="B68" s="4">
        <f t="shared" ca="1" si="1"/>
        <v>3</v>
      </c>
    </row>
    <row r="69" spans="1:2" x14ac:dyDescent="0.3">
      <c r="A69" s="5">
        <f ca="1">ROUND(_xlfn.NORM.INV(RAND(),Parameters!$B$2,Parameters!$B$3),0)</f>
        <v>19</v>
      </c>
      <c r="B69" s="4">
        <f t="shared" ca="1" si="1"/>
        <v>4</v>
      </c>
    </row>
    <row r="70" spans="1:2" x14ac:dyDescent="0.3">
      <c r="A70" s="5">
        <f ca="1">ROUND(_xlfn.NORM.INV(RAND(),Parameters!$B$2,Parameters!$B$3),0)</f>
        <v>60</v>
      </c>
      <c r="B70" s="4">
        <f t="shared" ca="1" si="1"/>
        <v>1</v>
      </c>
    </row>
    <row r="71" spans="1:2" x14ac:dyDescent="0.3">
      <c r="A71" s="5">
        <f ca="1">ROUND(_xlfn.NORM.INV(RAND(),Parameters!$B$2,Parameters!$B$3),0)</f>
        <v>58</v>
      </c>
      <c r="B71" s="4">
        <f t="shared" ca="1" si="1"/>
        <v>3</v>
      </c>
    </row>
    <row r="72" spans="1:2" x14ac:dyDescent="0.3">
      <c r="A72" s="5">
        <f ca="1">ROUND(_xlfn.NORM.INV(RAND(),Parameters!$B$2,Parameters!$B$3),0)</f>
        <v>41</v>
      </c>
      <c r="B72" s="4">
        <f t="shared" ca="1" si="1"/>
        <v>4</v>
      </c>
    </row>
    <row r="73" spans="1:2" x14ac:dyDescent="0.3">
      <c r="A73" s="5">
        <f ca="1">ROUND(_xlfn.NORM.INV(RAND(),Parameters!$B$2,Parameters!$B$3),0)</f>
        <v>28</v>
      </c>
      <c r="B73" s="4">
        <f t="shared" ca="1" si="1"/>
        <v>4</v>
      </c>
    </row>
    <row r="74" spans="1:2" x14ac:dyDescent="0.3">
      <c r="A74" s="5">
        <f ca="1">ROUND(_xlfn.NORM.INV(RAND(),Parameters!$B$2,Parameters!$B$3),0)</f>
        <v>28</v>
      </c>
      <c r="B74" s="4">
        <f t="shared" ca="1" si="1"/>
        <v>3</v>
      </c>
    </row>
    <row r="75" spans="1:2" x14ac:dyDescent="0.3">
      <c r="A75" s="5">
        <f ca="1">ROUND(_xlfn.NORM.INV(RAND(),Parameters!$B$2,Parameters!$B$3),0)</f>
        <v>49</v>
      </c>
      <c r="B75" s="4">
        <f t="shared" ca="1" si="1"/>
        <v>2</v>
      </c>
    </row>
    <row r="76" spans="1:2" x14ac:dyDescent="0.3">
      <c r="A76" s="5">
        <f ca="1">ROUND(_xlfn.NORM.INV(RAND(),Parameters!$B$2,Parameters!$B$3),0)</f>
        <v>34</v>
      </c>
      <c r="B76" s="4">
        <f t="shared" ca="1" si="1"/>
        <v>2</v>
      </c>
    </row>
    <row r="77" spans="1:2" x14ac:dyDescent="0.3">
      <c r="A77" s="5">
        <f ca="1">ROUND(_xlfn.NORM.INV(RAND(),Parameters!$B$2,Parameters!$B$3),0)</f>
        <v>46</v>
      </c>
      <c r="B77" s="4">
        <f t="shared" ca="1" si="1"/>
        <v>1</v>
      </c>
    </row>
    <row r="78" spans="1:2" x14ac:dyDescent="0.3">
      <c r="A78" s="5">
        <f ca="1">ROUND(_xlfn.NORM.INV(RAND(),Parameters!$B$2,Parameters!$B$3),0)</f>
        <v>37</v>
      </c>
      <c r="B78" s="4">
        <f t="shared" ca="1" si="1"/>
        <v>2</v>
      </c>
    </row>
    <row r="79" spans="1:2" x14ac:dyDescent="0.3">
      <c r="A79" s="5">
        <f ca="1">ROUND(_xlfn.NORM.INV(RAND(),Parameters!$B$2,Parameters!$B$3),0)</f>
        <v>25</v>
      </c>
      <c r="B79" s="4">
        <f t="shared" ca="1" si="1"/>
        <v>1</v>
      </c>
    </row>
    <row r="80" spans="1:2" x14ac:dyDescent="0.3">
      <c r="A80" s="5">
        <f ca="1">ROUND(_xlfn.NORM.INV(RAND(),Parameters!$B$2,Parameters!$B$3),0)</f>
        <v>46</v>
      </c>
      <c r="B80" s="4">
        <f t="shared" ca="1" si="1"/>
        <v>3</v>
      </c>
    </row>
    <row r="81" spans="1:2" x14ac:dyDescent="0.3">
      <c r="A81" s="5">
        <f ca="1">ROUND(_xlfn.NORM.INV(RAND(),Parameters!$B$2,Parameters!$B$3),0)</f>
        <v>26</v>
      </c>
      <c r="B81" s="4">
        <f t="shared" ca="1" si="1"/>
        <v>4</v>
      </c>
    </row>
    <row r="82" spans="1:2" x14ac:dyDescent="0.3">
      <c r="A82" s="5">
        <f ca="1">ROUND(_xlfn.NORM.INV(RAND(),Parameters!$B$2,Parameters!$B$3),0)</f>
        <v>34</v>
      </c>
      <c r="B82" s="4">
        <f t="shared" ca="1" si="1"/>
        <v>2</v>
      </c>
    </row>
    <row r="83" spans="1:2" x14ac:dyDescent="0.3">
      <c r="A83" s="5">
        <f ca="1">ROUND(_xlfn.NORM.INV(RAND(),Parameters!$B$2,Parameters!$B$3),0)</f>
        <v>46</v>
      </c>
      <c r="B83" s="4">
        <f t="shared" ca="1" si="1"/>
        <v>3</v>
      </c>
    </row>
    <row r="84" spans="1:2" x14ac:dyDescent="0.3">
      <c r="A84" s="5">
        <f ca="1">ROUND(_xlfn.NORM.INV(RAND(),Parameters!$B$2,Parameters!$B$3),0)</f>
        <v>34</v>
      </c>
      <c r="B84" s="4">
        <f t="shared" ca="1" si="1"/>
        <v>1</v>
      </c>
    </row>
    <row r="85" spans="1:2" x14ac:dyDescent="0.3">
      <c r="A85" s="5">
        <f ca="1">ROUND(_xlfn.NORM.INV(RAND(),Parameters!$B$2,Parameters!$B$3),0)</f>
        <v>38</v>
      </c>
      <c r="B85" s="4">
        <f t="shared" ca="1" si="1"/>
        <v>3</v>
      </c>
    </row>
    <row r="86" spans="1:2" x14ac:dyDescent="0.3">
      <c r="A86" s="5">
        <f ca="1">ROUND(_xlfn.NORM.INV(RAND(),Parameters!$B$2,Parameters!$B$3),0)</f>
        <v>25</v>
      </c>
      <c r="B86" s="4">
        <f t="shared" ca="1" si="1"/>
        <v>4</v>
      </c>
    </row>
    <row r="87" spans="1:2" x14ac:dyDescent="0.3">
      <c r="A87" s="5">
        <f ca="1">ROUND(_xlfn.NORM.INV(RAND(),Parameters!$B$2,Parameters!$B$3),0)</f>
        <v>42</v>
      </c>
      <c r="B87" s="4">
        <f t="shared" ca="1" si="1"/>
        <v>2</v>
      </c>
    </row>
    <row r="88" spans="1:2" x14ac:dyDescent="0.3">
      <c r="A88" s="5">
        <f ca="1">ROUND(_xlfn.NORM.INV(RAND(),Parameters!$B$2,Parameters!$B$3),0)</f>
        <v>39</v>
      </c>
      <c r="B88" s="4">
        <f t="shared" ca="1" si="1"/>
        <v>4</v>
      </c>
    </row>
    <row r="89" spans="1:2" x14ac:dyDescent="0.3">
      <c r="A89" s="5">
        <f ca="1">ROUND(_xlfn.NORM.INV(RAND(),Parameters!$B$2,Parameters!$B$3),0)</f>
        <v>40</v>
      </c>
      <c r="B89" s="4">
        <f t="shared" ca="1" si="1"/>
        <v>3</v>
      </c>
    </row>
    <row r="90" spans="1:2" x14ac:dyDescent="0.3">
      <c r="A90" s="5">
        <f ca="1">ROUND(_xlfn.NORM.INV(RAND(),Parameters!$B$2,Parameters!$B$3),0)</f>
        <v>49</v>
      </c>
      <c r="B90" s="4">
        <f t="shared" ca="1" si="1"/>
        <v>3</v>
      </c>
    </row>
    <row r="91" spans="1:2" x14ac:dyDescent="0.3">
      <c r="A91" s="5">
        <f ca="1">ROUND(_xlfn.NORM.INV(RAND(),Parameters!$B$2,Parameters!$B$3),0)</f>
        <v>39</v>
      </c>
      <c r="B91" s="4">
        <f t="shared" ca="1" si="1"/>
        <v>3</v>
      </c>
    </row>
    <row r="92" spans="1:2" x14ac:dyDescent="0.3">
      <c r="A92" s="5">
        <f ca="1">ROUND(_xlfn.NORM.INV(RAND(),Parameters!$B$2,Parameters!$B$3),0)</f>
        <v>45</v>
      </c>
      <c r="B92" s="4">
        <f t="shared" ca="1" si="1"/>
        <v>1</v>
      </c>
    </row>
    <row r="93" spans="1:2" x14ac:dyDescent="0.3">
      <c r="A93" s="5">
        <f ca="1">ROUND(_xlfn.NORM.INV(RAND(),Parameters!$B$2,Parameters!$B$3),0)</f>
        <v>42</v>
      </c>
      <c r="B93" s="4">
        <f t="shared" ca="1" si="1"/>
        <v>4</v>
      </c>
    </row>
    <row r="94" spans="1:2" x14ac:dyDescent="0.3">
      <c r="A94" s="5">
        <f ca="1">ROUND(_xlfn.NORM.INV(RAND(),Parameters!$B$2,Parameters!$B$3),0)</f>
        <v>53</v>
      </c>
      <c r="B94" s="4">
        <f t="shared" ca="1" si="1"/>
        <v>3</v>
      </c>
    </row>
    <row r="95" spans="1:2" x14ac:dyDescent="0.3">
      <c r="A95" s="5">
        <f ca="1">ROUND(_xlfn.NORM.INV(RAND(),Parameters!$B$2,Parameters!$B$3),0)</f>
        <v>38</v>
      </c>
      <c r="B95" s="4">
        <f t="shared" ca="1" si="1"/>
        <v>4</v>
      </c>
    </row>
    <row r="96" spans="1:2" x14ac:dyDescent="0.3">
      <c r="A96" s="5">
        <f ca="1">ROUND(_xlfn.NORM.INV(RAND(),Parameters!$B$2,Parameters!$B$3),0)</f>
        <v>25</v>
      </c>
      <c r="B96" s="4">
        <f t="shared" ca="1" si="1"/>
        <v>3</v>
      </c>
    </row>
    <row r="97" spans="1:2" x14ac:dyDescent="0.3">
      <c r="A97" s="5">
        <f ca="1">ROUND(_xlfn.NORM.INV(RAND(),Parameters!$B$2,Parameters!$B$3),0)</f>
        <v>26</v>
      </c>
      <c r="B97" s="4">
        <f t="shared" ca="1" si="1"/>
        <v>3</v>
      </c>
    </row>
    <row r="98" spans="1:2" x14ac:dyDescent="0.3">
      <c r="A98" s="5">
        <f ca="1">ROUND(_xlfn.NORM.INV(RAND(),Parameters!$B$2,Parameters!$B$3),0)</f>
        <v>50</v>
      </c>
      <c r="B98" s="4">
        <f t="shared" ca="1" si="1"/>
        <v>4</v>
      </c>
    </row>
    <row r="99" spans="1:2" x14ac:dyDescent="0.3">
      <c r="A99" s="5">
        <f ca="1">ROUND(_xlfn.NORM.INV(RAND(),Parameters!$B$2,Parameters!$B$3),0)</f>
        <v>35</v>
      </c>
      <c r="B99" s="4">
        <f t="shared" ca="1" si="1"/>
        <v>3</v>
      </c>
    </row>
    <row r="100" spans="1:2" x14ac:dyDescent="0.3">
      <c r="A100" s="5">
        <f ca="1">ROUND(_xlfn.NORM.INV(RAND(),Parameters!$B$2,Parameters!$B$3),0)</f>
        <v>30</v>
      </c>
      <c r="B100" s="4">
        <f t="shared" ca="1" si="1"/>
        <v>4</v>
      </c>
    </row>
    <row r="101" spans="1:2" x14ac:dyDescent="0.3">
      <c r="A101" s="5">
        <f ca="1">ROUND(_xlfn.NORM.INV(RAND(),Parameters!$B$2,Parameters!$B$3),0)</f>
        <v>14</v>
      </c>
      <c r="B101" s="4">
        <f t="shared" ca="1" si="1"/>
        <v>1</v>
      </c>
    </row>
    <row r="102" spans="1:2" x14ac:dyDescent="0.3">
      <c r="A102" s="5">
        <f ca="1">ROUND(_xlfn.NORM.INV(RAND(),Parameters!$B$2,Parameters!$B$3),0)</f>
        <v>19</v>
      </c>
      <c r="B102" s="4">
        <f t="shared" ca="1" si="1"/>
        <v>4</v>
      </c>
    </row>
    <row r="103" spans="1:2" x14ac:dyDescent="0.3">
      <c r="A103" s="5">
        <f ca="1">ROUND(_xlfn.NORM.INV(RAND(),Parameters!$B$2,Parameters!$B$3),0)</f>
        <v>39</v>
      </c>
      <c r="B103" s="4">
        <f t="shared" ca="1" si="1"/>
        <v>2</v>
      </c>
    </row>
    <row r="104" spans="1:2" x14ac:dyDescent="0.3">
      <c r="A104" s="5">
        <f ca="1">ROUND(_xlfn.NORM.INV(RAND(),Parameters!$B$2,Parameters!$B$3),0)</f>
        <v>36</v>
      </c>
      <c r="B104" s="4">
        <f t="shared" ca="1" si="1"/>
        <v>1</v>
      </c>
    </row>
    <row r="105" spans="1:2" x14ac:dyDescent="0.3">
      <c r="A105" s="5">
        <f ca="1">ROUND(_xlfn.NORM.INV(RAND(),Parameters!$B$2,Parameters!$B$3),0)</f>
        <v>50</v>
      </c>
      <c r="B105" s="4">
        <f t="shared" ca="1" si="1"/>
        <v>3</v>
      </c>
    </row>
    <row r="106" spans="1:2" x14ac:dyDescent="0.3">
      <c r="A106" s="5">
        <f ca="1">ROUND(_xlfn.NORM.INV(RAND(),Parameters!$B$2,Parameters!$B$3),0)</f>
        <v>24</v>
      </c>
      <c r="B106" s="4">
        <f t="shared" ca="1" si="1"/>
        <v>4</v>
      </c>
    </row>
    <row r="107" spans="1:2" x14ac:dyDescent="0.3">
      <c r="A107" s="5">
        <f ca="1">ROUND(_xlfn.NORM.INV(RAND(),Parameters!$B$2,Parameters!$B$3),0)</f>
        <v>37</v>
      </c>
      <c r="B107" s="4">
        <f t="shared" ca="1" si="1"/>
        <v>1</v>
      </c>
    </row>
    <row r="108" spans="1:2" x14ac:dyDescent="0.3">
      <c r="A108" s="5">
        <f ca="1">ROUND(_xlfn.NORM.INV(RAND(),Parameters!$B$2,Parameters!$B$3),0)</f>
        <v>56</v>
      </c>
      <c r="B108" s="4">
        <f t="shared" ca="1" si="1"/>
        <v>3</v>
      </c>
    </row>
    <row r="109" spans="1:2" x14ac:dyDescent="0.3">
      <c r="A109" s="5">
        <f ca="1">ROUND(_xlfn.NORM.INV(RAND(),Parameters!$B$2,Parameters!$B$3),0)</f>
        <v>58</v>
      </c>
      <c r="B109" s="4">
        <f t="shared" ca="1" si="1"/>
        <v>1</v>
      </c>
    </row>
    <row r="110" spans="1:2" x14ac:dyDescent="0.3">
      <c r="A110" s="5">
        <f ca="1">ROUND(_xlfn.NORM.INV(RAND(),Parameters!$B$2,Parameters!$B$3),0)</f>
        <v>29</v>
      </c>
      <c r="B110" s="4">
        <f t="shared" ca="1" si="1"/>
        <v>2</v>
      </c>
    </row>
    <row r="111" spans="1:2" x14ac:dyDescent="0.3">
      <c r="A111" s="5">
        <f ca="1">ROUND(_xlfn.NORM.INV(RAND(),Parameters!$B$2,Parameters!$B$3),0)</f>
        <v>46</v>
      </c>
      <c r="B111" s="4">
        <f t="shared" ca="1" si="1"/>
        <v>2</v>
      </c>
    </row>
    <row r="112" spans="1:2" x14ac:dyDescent="0.3">
      <c r="A112" s="5">
        <f ca="1">ROUND(_xlfn.NORM.INV(RAND(),Parameters!$B$2,Parameters!$B$3),0)</f>
        <v>51</v>
      </c>
      <c r="B112" s="4">
        <f t="shared" ca="1" si="1"/>
        <v>2</v>
      </c>
    </row>
    <row r="113" spans="1:2" x14ac:dyDescent="0.3">
      <c r="A113" s="5">
        <f ca="1">ROUND(_xlfn.NORM.INV(RAND(),Parameters!$B$2,Parameters!$B$3),0)</f>
        <v>46</v>
      </c>
      <c r="B113" s="4">
        <f t="shared" ca="1" si="1"/>
        <v>3</v>
      </c>
    </row>
    <row r="114" spans="1:2" x14ac:dyDescent="0.3">
      <c r="A114" s="5">
        <f ca="1">ROUND(_xlfn.NORM.INV(RAND(),Parameters!$B$2,Parameters!$B$3),0)</f>
        <v>44</v>
      </c>
      <c r="B114" s="4">
        <f t="shared" ca="1" si="1"/>
        <v>4</v>
      </c>
    </row>
    <row r="115" spans="1:2" x14ac:dyDescent="0.3">
      <c r="A115" s="5">
        <f ca="1">ROUND(_xlfn.NORM.INV(RAND(),Parameters!$B$2,Parameters!$B$3),0)</f>
        <v>46</v>
      </c>
      <c r="B115" s="4">
        <f t="shared" ca="1" si="1"/>
        <v>2</v>
      </c>
    </row>
    <row r="116" spans="1:2" x14ac:dyDescent="0.3">
      <c r="A116" s="5">
        <f ca="1">ROUND(_xlfn.NORM.INV(RAND(),Parameters!$B$2,Parameters!$B$3),0)</f>
        <v>39</v>
      </c>
      <c r="B116" s="4">
        <f t="shared" ca="1" si="1"/>
        <v>4</v>
      </c>
    </row>
    <row r="117" spans="1:2" x14ac:dyDescent="0.3">
      <c r="A117" s="5">
        <f ca="1">ROUND(_xlfn.NORM.INV(RAND(),Parameters!$B$2,Parameters!$B$3),0)</f>
        <v>44</v>
      </c>
      <c r="B117" s="4">
        <f t="shared" ca="1" si="1"/>
        <v>3</v>
      </c>
    </row>
    <row r="118" spans="1:2" x14ac:dyDescent="0.3">
      <c r="A118" s="5">
        <f ca="1">ROUND(_xlfn.NORM.INV(RAND(),Parameters!$B$2,Parameters!$B$3),0)</f>
        <v>37</v>
      </c>
      <c r="B118" s="4">
        <f t="shared" ca="1" si="1"/>
        <v>3</v>
      </c>
    </row>
    <row r="119" spans="1:2" x14ac:dyDescent="0.3">
      <c r="A119" s="5">
        <f ca="1">ROUND(_xlfn.NORM.INV(RAND(),Parameters!$B$2,Parameters!$B$3),0)</f>
        <v>47</v>
      </c>
      <c r="B119" s="4">
        <f t="shared" ca="1" si="1"/>
        <v>2</v>
      </c>
    </row>
    <row r="120" spans="1:2" x14ac:dyDescent="0.3">
      <c r="A120" s="5">
        <f ca="1">ROUND(_xlfn.NORM.INV(RAND(),Parameters!$B$2,Parameters!$B$3),0)</f>
        <v>42</v>
      </c>
      <c r="B120" s="4">
        <f t="shared" ca="1" si="1"/>
        <v>3</v>
      </c>
    </row>
    <row r="121" spans="1:2" x14ac:dyDescent="0.3">
      <c r="A121" s="5">
        <f ca="1">ROUND(_xlfn.NORM.INV(RAND(),Parameters!$B$2,Parameters!$B$3),0)</f>
        <v>47</v>
      </c>
      <c r="B121" s="4">
        <f t="shared" ca="1" si="1"/>
        <v>1</v>
      </c>
    </row>
    <row r="122" spans="1:2" x14ac:dyDescent="0.3">
      <c r="A122" s="5">
        <f ca="1">ROUND(_xlfn.NORM.INV(RAND(),Parameters!$B$2,Parameters!$B$3),0)</f>
        <v>33</v>
      </c>
      <c r="B122" s="4">
        <f t="shared" ca="1" si="1"/>
        <v>3</v>
      </c>
    </row>
    <row r="123" spans="1:2" x14ac:dyDescent="0.3">
      <c r="A123" s="5">
        <f ca="1">ROUND(_xlfn.NORM.INV(RAND(),Parameters!$B$2,Parameters!$B$3),0)</f>
        <v>63</v>
      </c>
      <c r="B123" s="4">
        <f t="shared" ca="1" si="1"/>
        <v>2</v>
      </c>
    </row>
    <row r="124" spans="1:2" x14ac:dyDescent="0.3">
      <c r="A124" s="5">
        <f ca="1">ROUND(_xlfn.NORM.INV(RAND(),Parameters!$B$2,Parameters!$B$3),0)</f>
        <v>32</v>
      </c>
      <c r="B124" s="4">
        <f t="shared" ca="1" si="1"/>
        <v>1</v>
      </c>
    </row>
    <row r="125" spans="1:2" x14ac:dyDescent="0.3">
      <c r="A125" s="5">
        <f ca="1">ROUND(_xlfn.NORM.INV(RAND(),Parameters!$B$2,Parameters!$B$3),0)</f>
        <v>67</v>
      </c>
      <c r="B125" s="4">
        <f t="shared" ca="1" si="1"/>
        <v>2</v>
      </c>
    </row>
    <row r="126" spans="1:2" x14ac:dyDescent="0.3">
      <c r="A126" s="5">
        <f ca="1">ROUND(_xlfn.NORM.INV(RAND(),Parameters!$B$2,Parameters!$B$3),0)</f>
        <v>45</v>
      </c>
      <c r="B126" s="4">
        <f t="shared" ca="1" si="1"/>
        <v>4</v>
      </c>
    </row>
    <row r="127" spans="1:2" x14ac:dyDescent="0.3">
      <c r="A127" s="5">
        <f ca="1">ROUND(_xlfn.NORM.INV(RAND(),Parameters!$B$2,Parameters!$B$3),0)</f>
        <v>36</v>
      </c>
      <c r="B127" s="4">
        <f t="shared" ca="1" si="1"/>
        <v>1</v>
      </c>
    </row>
    <row r="128" spans="1:2" x14ac:dyDescent="0.3">
      <c r="A128" s="5">
        <f ca="1">ROUND(_xlfn.NORM.INV(RAND(),Parameters!$B$2,Parameters!$B$3),0)</f>
        <v>43</v>
      </c>
      <c r="B128" s="4">
        <f t="shared" ca="1" si="1"/>
        <v>4</v>
      </c>
    </row>
    <row r="129" spans="1:2" x14ac:dyDescent="0.3">
      <c r="A129" s="5">
        <f ca="1">ROUND(_xlfn.NORM.INV(RAND(),Parameters!$B$2,Parameters!$B$3),0)</f>
        <v>25</v>
      </c>
      <c r="B129" s="4">
        <f t="shared" ca="1" si="1"/>
        <v>4</v>
      </c>
    </row>
    <row r="130" spans="1:2" x14ac:dyDescent="0.3">
      <c r="A130" s="5">
        <f ca="1">ROUND(_xlfn.NORM.INV(RAND(),Parameters!$B$2,Parameters!$B$3),0)</f>
        <v>55</v>
      </c>
      <c r="B130" s="4">
        <f t="shared" ca="1" si="1"/>
        <v>1</v>
      </c>
    </row>
    <row r="131" spans="1:2" x14ac:dyDescent="0.3">
      <c r="A131" s="5">
        <f ca="1">ROUND(_xlfn.NORM.INV(RAND(),Parameters!$B$2,Parameters!$B$3),0)</f>
        <v>27</v>
      </c>
      <c r="B131" s="4">
        <f t="shared" ref="B131:B194" ca="1" si="2">RANDBETWEEN(1,4)</f>
        <v>2</v>
      </c>
    </row>
    <row r="132" spans="1:2" x14ac:dyDescent="0.3">
      <c r="A132" s="5">
        <f ca="1">ROUND(_xlfn.NORM.INV(RAND(),Parameters!$B$2,Parameters!$B$3),0)</f>
        <v>62</v>
      </c>
      <c r="B132" s="4">
        <f t="shared" ca="1" si="2"/>
        <v>2</v>
      </c>
    </row>
    <row r="133" spans="1:2" x14ac:dyDescent="0.3">
      <c r="A133" s="5">
        <f ca="1">ROUND(_xlfn.NORM.INV(RAND(),Parameters!$B$2,Parameters!$B$3),0)</f>
        <v>42</v>
      </c>
      <c r="B133" s="4">
        <f t="shared" ca="1" si="2"/>
        <v>2</v>
      </c>
    </row>
    <row r="134" spans="1:2" x14ac:dyDescent="0.3">
      <c r="A134" s="5">
        <f ca="1">ROUND(_xlfn.NORM.INV(RAND(),Parameters!$B$2,Parameters!$B$3),0)</f>
        <v>19</v>
      </c>
      <c r="B134" s="4">
        <f t="shared" ca="1" si="2"/>
        <v>4</v>
      </c>
    </row>
    <row r="135" spans="1:2" x14ac:dyDescent="0.3">
      <c r="A135" s="5">
        <f ca="1">ROUND(_xlfn.NORM.INV(RAND(),Parameters!$B$2,Parameters!$B$3),0)</f>
        <v>68</v>
      </c>
      <c r="B135" s="4">
        <f t="shared" ca="1" si="2"/>
        <v>3</v>
      </c>
    </row>
    <row r="136" spans="1:2" x14ac:dyDescent="0.3">
      <c r="A136" s="5">
        <f ca="1">ROUND(_xlfn.NORM.INV(RAND(),Parameters!$B$2,Parameters!$B$3),0)</f>
        <v>48</v>
      </c>
      <c r="B136" s="4">
        <f t="shared" ca="1" si="2"/>
        <v>4</v>
      </c>
    </row>
    <row r="137" spans="1:2" x14ac:dyDescent="0.3">
      <c r="A137" s="5">
        <f ca="1">ROUND(_xlfn.NORM.INV(RAND(),Parameters!$B$2,Parameters!$B$3),0)</f>
        <v>54</v>
      </c>
      <c r="B137" s="4">
        <f t="shared" ca="1" si="2"/>
        <v>4</v>
      </c>
    </row>
    <row r="138" spans="1:2" x14ac:dyDescent="0.3">
      <c r="A138" s="5">
        <f ca="1">ROUND(_xlfn.NORM.INV(RAND(),Parameters!$B$2,Parameters!$B$3),0)</f>
        <v>46</v>
      </c>
      <c r="B138" s="4">
        <f t="shared" ca="1" si="2"/>
        <v>4</v>
      </c>
    </row>
    <row r="139" spans="1:2" x14ac:dyDescent="0.3">
      <c r="A139" s="5">
        <f ca="1">ROUND(_xlfn.NORM.INV(RAND(),Parameters!$B$2,Parameters!$B$3),0)</f>
        <v>55</v>
      </c>
      <c r="B139" s="4">
        <f t="shared" ca="1" si="2"/>
        <v>3</v>
      </c>
    </row>
    <row r="140" spans="1:2" x14ac:dyDescent="0.3">
      <c r="A140" s="5">
        <f ca="1">ROUND(_xlfn.NORM.INV(RAND(),Parameters!$B$2,Parameters!$B$3),0)</f>
        <v>52</v>
      </c>
      <c r="B140" s="4">
        <f t="shared" ca="1" si="2"/>
        <v>4</v>
      </c>
    </row>
    <row r="141" spans="1:2" x14ac:dyDescent="0.3">
      <c r="A141" s="5">
        <f ca="1">ROUND(_xlfn.NORM.INV(RAND(),Parameters!$B$2,Parameters!$B$3),0)</f>
        <v>32</v>
      </c>
      <c r="B141" s="4">
        <f t="shared" ca="1" si="2"/>
        <v>2</v>
      </c>
    </row>
    <row r="142" spans="1:2" x14ac:dyDescent="0.3">
      <c r="A142" s="5">
        <f ca="1">ROUND(_xlfn.NORM.INV(RAND(),Parameters!$B$2,Parameters!$B$3),0)</f>
        <v>26</v>
      </c>
      <c r="B142" s="4">
        <f t="shared" ca="1" si="2"/>
        <v>4</v>
      </c>
    </row>
    <row r="143" spans="1:2" x14ac:dyDescent="0.3">
      <c r="A143" s="5">
        <f ca="1">ROUND(_xlfn.NORM.INV(RAND(),Parameters!$B$2,Parameters!$B$3),0)</f>
        <v>34</v>
      </c>
      <c r="B143" s="4">
        <f t="shared" ca="1" si="2"/>
        <v>2</v>
      </c>
    </row>
    <row r="144" spans="1:2" x14ac:dyDescent="0.3">
      <c r="A144" s="5">
        <f ca="1">ROUND(_xlfn.NORM.INV(RAND(),Parameters!$B$2,Parameters!$B$3),0)</f>
        <v>59</v>
      </c>
      <c r="B144" s="4">
        <f t="shared" ca="1" si="2"/>
        <v>3</v>
      </c>
    </row>
    <row r="145" spans="1:2" x14ac:dyDescent="0.3">
      <c r="A145" s="5">
        <f ca="1">ROUND(_xlfn.NORM.INV(RAND(),Parameters!$B$2,Parameters!$B$3),0)</f>
        <v>52</v>
      </c>
      <c r="B145" s="4">
        <f t="shared" ca="1" si="2"/>
        <v>3</v>
      </c>
    </row>
    <row r="146" spans="1:2" x14ac:dyDescent="0.3">
      <c r="A146" s="5">
        <f ca="1">ROUND(_xlfn.NORM.INV(RAND(),Parameters!$B$2,Parameters!$B$3),0)</f>
        <v>32</v>
      </c>
      <c r="B146" s="4">
        <f t="shared" ca="1" si="2"/>
        <v>4</v>
      </c>
    </row>
    <row r="147" spans="1:2" x14ac:dyDescent="0.3">
      <c r="A147" s="5">
        <f ca="1">ROUND(_xlfn.NORM.INV(RAND(),Parameters!$B$2,Parameters!$B$3),0)</f>
        <v>35</v>
      </c>
      <c r="B147" s="4">
        <f t="shared" ca="1" si="2"/>
        <v>3</v>
      </c>
    </row>
    <row r="148" spans="1:2" x14ac:dyDescent="0.3">
      <c r="A148" s="5">
        <f ca="1">ROUND(_xlfn.NORM.INV(RAND(),Parameters!$B$2,Parameters!$B$3),0)</f>
        <v>46</v>
      </c>
      <c r="B148" s="4">
        <f t="shared" ca="1" si="2"/>
        <v>3</v>
      </c>
    </row>
    <row r="149" spans="1:2" x14ac:dyDescent="0.3">
      <c r="A149" s="5">
        <f ca="1">ROUND(_xlfn.NORM.INV(RAND(),Parameters!$B$2,Parameters!$B$3),0)</f>
        <v>62</v>
      </c>
      <c r="B149" s="4">
        <f t="shared" ca="1" si="2"/>
        <v>4</v>
      </c>
    </row>
    <row r="150" spans="1:2" x14ac:dyDescent="0.3">
      <c r="A150" s="5">
        <f ca="1">ROUND(_xlfn.NORM.INV(RAND(),Parameters!$B$2,Parameters!$B$3),0)</f>
        <v>43</v>
      </c>
      <c r="B150" s="4">
        <f t="shared" ca="1" si="2"/>
        <v>2</v>
      </c>
    </row>
    <row r="151" spans="1:2" x14ac:dyDescent="0.3">
      <c r="A151" s="5">
        <f ca="1">ROUND(_xlfn.NORM.INV(RAND(),Parameters!$B$2,Parameters!$B$3),0)</f>
        <v>38</v>
      </c>
      <c r="B151" s="4">
        <f t="shared" ca="1" si="2"/>
        <v>3</v>
      </c>
    </row>
    <row r="152" spans="1:2" x14ac:dyDescent="0.3">
      <c r="A152" s="5">
        <f ca="1">ROUND(_xlfn.NORM.INV(RAND(),Parameters!$B$2,Parameters!$B$3),0)</f>
        <v>28</v>
      </c>
      <c r="B152" s="4">
        <f t="shared" ca="1" si="2"/>
        <v>3</v>
      </c>
    </row>
    <row r="153" spans="1:2" x14ac:dyDescent="0.3">
      <c r="A153" s="5">
        <f ca="1">ROUND(_xlfn.NORM.INV(RAND(),Parameters!$B$2,Parameters!$B$3),0)</f>
        <v>47</v>
      </c>
      <c r="B153" s="4">
        <f t="shared" ca="1" si="2"/>
        <v>1</v>
      </c>
    </row>
    <row r="154" spans="1:2" x14ac:dyDescent="0.3">
      <c r="A154" s="5">
        <f ca="1">ROUND(_xlfn.NORM.INV(RAND(),Parameters!$B$2,Parameters!$B$3),0)</f>
        <v>35</v>
      </c>
      <c r="B154" s="4">
        <f t="shared" ca="1" si="2"/>
        <v>3</v>
      </c>
    </row>
    <row r="155" spans="1:2" x14ac:dyDescent="0.3">
      <c r="A155" s="5">
        <f ca="1">ROUND(_xlfn.NORM.INV(RAND(),Parameters!$B$2,Parameters!$B$3),0)</f>
        <v>25</v>
      </c>
      <c r="B155" s="4">
        <f t="shared" ca="1" si="2"/>
        <v>1</v>
      </c>
    </row>
    <row r="156" spans="1:2" x14ac:dyDescent="0.3">
      <c r="A156" s="5">
        <f ca="1">ROUND(_xlfn.NORM.INV(RAND(),Parameters!$B$2,Parameters!$B$3),0)</f>
        <v>16</v>
      </c>
      <c r="B156" s="4">
        <f t="shared" ca="1" si="2"/>
        <v>2</v>
      </c>
    </row>
    <row r="157" spans="1:2" x14ac:dyDescent="0.3">
      <c r="A157" s="5">
        <f ca="1">ROUND(_xlfn.NORM.INV(RAND(),Parameters!$B$2,Parameters!$B$3),0)</f>
        <v>39</v>
      </c>
      <c r="B157" s="4">
        <f t="shared" ca="1" si="2"/>
        <v>3</v>
      </c>
    </row>
    <row r="158" spans="1:2" x14ac:dyDescent="0.3">
      <c r="A158" s="5">
        <f ca="1">ROUND(_xlfn.NORM.INV(RAND(),Parameters!$B$2,Parameters!$B$3),0)</f>
        <v>40</v>
      </c>
      <c r="B158" s="4">
        <f t="shared" ca="1" si="2"/>
        <v>1</v>
      </c>
    </row>
    <row r="159" spans="1:2" x14ac:dyDescent="0.3">
      <c r="A159" s="5">
        <f ca="1">ROUND(_xlfn.NORM.INV(RAND(),Parameters!$B$2,Parameters!$B$3),0)</f>
        <v>19</v>
      </c>
      <c r="B159" s="4">
        <f t="shared" ca="1" si="2"/>
        <v>4</v>
      </c>
    </row>
    <row r="160" spans="1:2" x14ac:dyDescent="0.3">
      <c r="A160" s="5">
        <f ca="1">ROUND(_xlfn.NORM.INV(RAND(),Parameters!$B$2,Parameters!$B$3),0)</f>
        <v>41</v>
      </c>
      <c r="B160" s="4">
        <f t="shared" ca="1" si="2"/>
        <v>1</v>
      </c>
    </row>
    <row r="161" spans="1:2" x14ac:dyDescent="0.3">
      <c r="A161" s="5">
        <f ca="1">ROUND(_xlfn.NORM.INV(RAND(),Parameters!$B$2,Parameters!$B$3),0)</f>
        <v>42</v>
      </c>
      <c r="B161" s="4">
        <f t="shared" ca="1" si="2"/>
        <v>2</v>
      </c>
    </row>
    <row r="162" spans="1:2" x14ac:dyDescent="0.3">
      <c r="A162" s="5">
        <f ca="1">ROUND(_xlfn.NORM.INV(RAND(),Parameters!$B$2,Parameters!$B$3),0)</f>
        <v>44</v>
      </c>
      <c r="B162" s="4">
        <f t="shared" ca="1" si="2"/>
        <v>1</v>
      </c>
    </row>
    <row r="163" spans="1:2" x14ac:dyDescent="0.3">
      <c r="A163" s="5">
        <f ca="1">ROUND(_xlfn.NORM.INV(RAND(),Parameters!$B$2,Parameters!$B$3),0)</f>
        <v>35</v>
      </c>
      <c r="B163" s="4">
        <f t="shared" ca="1" si="2"/>
        <v>4</v>
      </c>
    </row>
    <row r="164" spans="1:2" x14ac:dyDescent="0.3">
      <c r="A164" s="5">
        <f ca="1">ROUND(_xlfn.NORM.INV(RAND(),Parameters!$B$2,Parameters!$B$3),0)</f>
        <v>54</v>
      </c>
      <c r="B164" s="4">
        <f t="shared" ca="1" si="2"/>
        <v>4</v>
      </c>
    </row>
    <row r="165" spans="1:2" x14ac:dyDescent="0.3">
      <c r="A165" s="5">
        <f ca="1">ROUND(_xlfn.NORM.INV(RAND(),Parameters!$B$2,Parameters!$B$3),0)</f>
        <v>39</v>
      </c>
      <c r="B165" s="4">
        <f t="shared" ca="1" si="2"/>
        <v>2</v>
      </c>
    </row>
    <row r="166" spans="1:2" x14ac:dyDescent="0.3">
      <c r="A166" s="5">
        <f ca="1">ROUND(_xlfn.NORM.INV(RAND(),Parameters!$B$2,Parameters!$B$3),0)</f>
        <v>32</v>
      </c>
      <c r="B166" s="4">
        <f t="shared" ca="1" si="2"/>
        <v>2</v>
      </c>
    </row>
    <row r="167" spans="1:2" x14ac:dyDescent="0.3">
      <c r="A167" s="5">
        <f ca="1">ROUND(_xlfn.NORM.INV(RAND(),Parameters!$B$2,Parameters!$B$3),0)</f>
        <v>31</v>
      </c>
      <c r="B167" s="4">
        <f t="shared" ca="1" si="2"/>
        <v>3</v>
      </c>
    </row>
    <row r="168" spans="1:2" x14ac:dyDescent="0.3">
      <c r="A168" s="5">
        <f ca="1">ROUND(_xlfn.NORM.INV(RAND(),Parameters!$B$2,Parameters!$B$3),0)</f>
        <v>29</v>
      </c>
      <c r="B168" s="4">
        <f t="shared" ca="1" si="2"/>
        <v>1</v>
      </c>
    </row>
    <row r="169" spans="1:2" x14ac:dyDescent="0.3">
      <c r="A169" s="5">
        <f ca="1">ROUND(_xlfn.NORM.INV(RAND(),Parameters!$B$2,Parameters!$B$3),0)</f>
        <v>38</v>
      </c>
      <c r="B169" s="4">
        <f t="shared" ca="1" si="2"/>
        <v>3</v>
      </c>
    </row>
    <row r="170" spans="1:2" x14ac:dyDescent="0.3">
      <c r="A170" s="5">
        <f ca="1">ROUND(_xlfn.NORM.INV(RAND(),Parameters!$B$2,Parameters!$B$3),0)</f>
        <v>49</v>
      </c>
      <c r="B170" s="4">
        <f t="shared" ca="1" si="2"/>
        <v>4</v>
      </c>
    </row>
    <row r="171" spans="1:2" x14ac:dyDescent="0.3">
      <c r="A171" s="5">
        <f ca="1">ROUND(_xlfn.NORM.INV(RAND(),Parameters!$B$2,Parameters!$B$3),0)</f>
        <v>50</v>
      </c>
      <c r="B171" s="4">
        <f t="shared" ca="1" si="2"/>
        <v>4</v>
      </c>
    </row>
    <row r="172" spans="1:2" x14ac:dyDescent="0.3">
      <c r="A172" s="5">
        <f ca="1">ROUND(_xlfn.NORM.INV(RAND(),Parameters!$B$2,Parameters!$B$3),0)</f>
        <v>47</v>
      </c>
      <c r="B172" s="4">
        <f t="shared" ca="1" si="2"/>
        <v>1</v>
      </c>
    </row>
    <row r="173" spans="1:2" x14ac:dyDescent="0.3">
      <c r="A173" s="5">
        <f ca="1">ROUND(_xlfn.NORM.INV(RAND(),Parameters!$B$2,Parameters!$B$3),0)</f>
        <v>40</v>
      </c>
      <c r="B173" s="4">
        <f t="shared" ca="1" si="2"/>
        <v>3</v>
      </c>
    </row>
    <row r="174" spans="1:2" x14ac:dyDescent="0.3">
      <c r="A174" s="5">
        <f ca="1">ROUND(_xlfn.NORM.INV(RAND(),Parameters!$B$2,Parameters!$B$3),0)</f>
        <v>33</v>
      </c>
      <c r="B174" s="4">
        <f t="shared" ca="1" si="2"/>
        <v>3</v>
      </c>
    </row>
    <row r="175" spans="1:2" x14ac:dyDescent="0.3">
      <c r="A175" s="5">
        <f ca="1">ROUND(_xlfn.NORM.INV(RAND(),Parameters!$B$2,Parameters!$B$3),0)</f>
        <v>50</v>
      </c>
      <c r="B175" s="4">
        <f t="shared" ca="1" si="2"/>
        <v>3</v>
      </c>
    </row>
    <row r="176" spans="1:2" x14ac:dyDescent="0.3">
      <c r="A176" s="5">
        <f ca="1">ROUND(_xlfn.NORM.INV(RAND(),Parameters!$B$2,Parameters!$B$3),0)</f>
        <v>45</v>
      </c>
      <c r="B176" s="4">
        <f t="shared" ca="1" si="2"/>
        <v>2</v>
      </c>
    </row>
    <row r="177" spans="1:2" x14ac:dyDescent="0.3">
      <c r="A177" s="5">
        <f ca="1">ROUND(_xlfn.NORM.INV(RAND(),Parameters!$B$2,Parameters!$B$3),0)</f>
        <v>42</v>
      </c>
      <c r="B177" s="4">
        <f t="shared" ca="1" si="2"/>
        <v>4</v>
      </c>
    </row>
    <row r="178" spans="1:2" x14ac:dyDescent="0.3">
      <c r="A178" s="5">
        <f ca="1">ROUND(_xlfn.NORM.INV(RAND(),Parameters!$B$2,Parameters!$B$3),0)</f>
        <v>25</v>
      </c>
      <c r="B178" s="4">
        <f t="shared" ca="1" si="2"/>
        <v>1</v>
      </c>
    </row>
    <row r="179" spans="1:2" x14ac:dyDescent="0.3">
      <c r="A179" s="5">
        <f ca="1">ROUND(_xlfn.NORM.INV(RAND(),Parameters!$B$2,Parameters!$B$3),0)</f>
        <v>47</v>
      </c>
      <c r="B179" s="4">
        <f t="shared" ca="1" si="2"/>
        <v>1</v>
      </c>
    </row>
    <row r="180" spans="1:2" x14ac:dyDescent="0.3">
      <c r="A180" s="5">
        <f ca="1">ROUND(_xlfn.NORM.INV(RAND(),Parameters!$B$2,Parameters!$B$3),0)</f>
        <v>57</v>
      </c>
      <c r="B180" s="4">
        <f t="shared" ca="1" si="2"/>
        <v>3</v>
      </c>
    </row>
    <row r="181" spans="1:2" x14ac:dyDescent="0.3">
      <c r="A181" s="5">
        <f ca="1">ROUND(_xlfn.NORM.INV(RAND(),Parameters!$B$2,Parameters!$B$3),0)</f>
        <v>51</v>
      </c>
      <c r="B181" s="4">
        <f t="shared" ca="1" si="2"/>
        <v>4</v>
      </c>
    </row>
    <row r="182" spans="1:2" x14ac:dyDescent="0.3">
      <c r="A182" s="5">
        <f ca="1">ROUND(_xlfn.NORM.INV(RAND(),Parameters!$B$2,Parameters!$B$3),0)</f>
        <v>46</v>
      </c>
      <c r="B182" s="4">
        <f t="shared" ca="1" si="2"/>
        <v>3</v>
      </c>
    </row>
    <row r="183" spans="1:2" x14ac:dyDescent="0.3">
      <c r="A183" s="5">
        <f ca="1">ROUND(_xlfn.NORM.INV(RAND(),Parameters!$B$2,Parameters!$B$3),0)</f>
        <v>30</v>
      </c>
      <c r="B183" s="4">
        <f t="shared" ca="1" si="2"/>
        <v>1</v>
      </c>
    </row>
    <row r="184" spans="1:2" x14ac:dyDescent="0.3">
      <c r="A184" s="5">
        <f ca="1">ROUND(_xlfn.NORM.INV(RAND(),Parameters!$B$2,Parameters!$B$3),0)</f>
        <v>21</v>
      </c>
      <c r="B184" s="4">
        <f t="shared" ca="1" si="2"/>
        <v>4</v>
      </c>
    </row>
    <row r="185" spans="1:2" x14ac:dyDescent="0.3">
      <c r="A185" s="5">
        <f ca="1">ROUND(_xlfn.NORM.INV(RAND(),Parameters!$B$2,Parameters!$B$3),0)</f>
        <v>37</v>
      </c>
      <c r="B185" s="4">
        <f t="shared" ca="1" si="2"/>
        <v>2</v>
      </c>
    </row>
    <row r="186" spans="1:2" x14ac:dyDescent="0.3">
      <c r="A186" s="5">
        <f ca="1">ROUND(_xlfn.NORM.INV(RAND(),Parameters!$B$2,Parameters!$B$3),0)</f>
        <v>23</v>
      </c>
      <c r="B186" s="4">
        <f t="shared" ca="1" si="2"/>
        <v>1</v>
      </c>
    </row>
    <row r="187" spans="1:2" x14ac:dyDescent="0.3">
      <c r="A187" s="5">
        <f ca="1">ROUND(_xlfn.NORM.INV(RAND(),Parameters!$B$2,Parameters!$B$3),0)</f>
        <v>52</v>
      </c>
      <c r="B187" s="4">
        <f t="shared" ca="1" si="2"/>
        <v>4</v>
      </c>
    </row>
    <row r="188" spans="1:2" x14ac:dyDescent="0.3">
      <c r="A188" s="5">
        <f ca="1">ROUND(_xlfn.NORM.INV(RAND(),Parameters!$B$2,Parameters!$B$3),0)</f>
        <v>31</v>
      </c>
      <c r="B188" s="4">
        <f t="shared" ca="1" si="2"/>
        <v>3</v>
      </c>
    </row>
    <row r="189" spans="1:2" x14ac:dyDescent="0.3">
      <c r="A189" s="5">
        <f ca="1">ROUND(_xlfn.NORM.INV(RAND(),Parameters!$B$2,Parameters!$B$3),0)</f>
        <v>55</v>
      </c>
      <c r="B189" s="4">
        <f t="shared" ca="1" si="2"/>
        <v>1</v>
      </c>
    </row>
    <row r="190" spans="1:2" x14ac:dyDescent="0.3">
      <c r="A190" s="5">
        <f ca="1">ROUND(_xlfn.NORM.INV(RAND(),Parameters!$B$2,Parameters!$B$3),0)</f>
        <v>51</v>
      </c>
      <c r="B190" s="4">
        <f t="shared" ca="1" si="2"/>
        <v>1</v>
      </c>
    </row>
    <row r="191" spans="1:2" x14ac:dyDescent="0.3">
      <c r="A191" s="5">
        <f ca="1">ROUND(_xlfn.NORM.INV(RAND(),Parameters!$B$2,Parameters!$B$3),0)</f>
        <v>39</v>
      </c>
      <c r="B191" s="4">
        <f t="shared" ca="1" si="2"/>
        <v>4</v>
      </c>
    </row>
    <row r="192" spans="1:2" x14ac:dyDescent="0.3">
      <c r="A192" s="5">
        <f ca="1">ROUND(_xlfn.NORM.INV(RAND(),Parameters!$B$2,Parameters!$B$3),0)</f>
        <v>51</v>
      </c>
      <c r="B192" s="4">
        <f t="shared" ca="1" si="2"/>
        <v>2</v>
      </c>
    </row>
    <row r="193" spans="1:2" x14ac:dyDescent="0.3">
      <c r="A193" s="5">
        <f ca="1">ROUND(_xlfn.NORM.INV(RAND(),Parameters!$B$2,Parameters!$B$3),0)</f>
        <v>43</v>
      </c>
      <c r="B193" s="4">
        <f t="shared" ca="1" si="2"/>
        <v>2</v>
      </c>
    </row>
    <row r="194" spans="1:2" x14ac:dyDescent="0.3">
      <c r="A194" s="5">
        <f ca="1">ROUND(_xlfn.NORM.INV(RAND(),Parameters!$B$2,Parameters!$B$3),0)</f>
        <v>45</v>
      </c>
      <c r="B194" s="4">
        <f t="shared" ca="1" si="2"/>
        <v>4</v>
      </c>
    </row>
    <row r="195" spans="1:2" x14ac:dyDescent="0.3">
      <c r="A195" s="5">
        <f ca="1">ROUND(_xlfn.NORM.INV(RAND(),Parameters!$B$2,Parameters!$B$3),0)</f>
        <v>38</v>
      </c>
      <c r="B195" s="4">
        <f t="shared" ref="B195:B251" ca="1" si="3">RANDBETWEEN(1,4)</f>
        <v>3</v>
      </c>
    </row>
    <row r="196" spans="1:2" x14ac:dyDescent="0.3">
      <c r="A196" s="5">
        <f ca="1">ROUND(_xlfn.NORM.INV(RAND(),Parameters!$B$2,Parameters!$B$3),0)</f>
        <v>46</v>
      </c>
      <c r="B196" s="4">
        <f t="shared" ca="1" si="3"/>
        <v>4</v>
      </c>
    </row>
    <row r="197" spans="1:2" x14ac:dyDescent="0.3">
      <c r="A197" s="5">
        <f ca="1">ROUND(_xlfn.NORM.INV(RAND(),Parameters!$B$2,Parameters!$B$3),0)</f>
        <v>42</v>
      </c>
      <c r="B197" s="4">
        <f t="shared" ca="1" si="3"/>
        <v>4</v>
      </c>
    </row>
    <row r="198" spans="1:2" x14ac:dyDescent="0.3">
      <c r="A198" s="5">
        <f ca="1">ROUND(_xlfn.NORM.INV(RAND(),Parameters!$B$2,Parameters!$B$3),0)</f>
        <v>39</v>
      </c>
      <c r="B198" s="4">
        <f t="shared" ca="1" si="3"/>
        <v>2</v>
      </c>
    </row>
    <row r="199" spans="1:2" x14ac:dyDescent="0.3">
      <c r="A199" s="5">
        <f ca="1">ROUND(_xlfn.NORM.INV(RAND(),Parameters!$B$2,Parameters!$B$3),0)</f>
        <v>47</v>
      </c>
      <c r="B199" s="4">
        <f t="shared" ca="1" si="3"/>
        <v>1</v>
      </c>
    </row>
    <row r="200" spans="1:2" x14ac:dyDescent="0.3">
      <c r="A200" s="5">
        <f ca="1">ROUND(_xlfn.NORM.INV(RAND(),Parameters!$B$2,Parameters!$B$3),0)</f>
        <v>43</v>
      </c>
      <c r="B200" s="4">
        <f t="shared" ca="1" si="3"/>
        <v>2</v>
      </c>
    </row>
    <row r="201" spans="1:2" x14ac:dyDescent="0.3">
      <c r="A201" s="5">
        <f ca="1">ROUND(_xlfn.NORM.INV(RAND(),Parameters!$B$2,Parameters!$B$3),0)</f>
        <v>35</v>
      </c>
      <c r="B201" s="4">
        <f t="shared" ca="1" si="3"/>
        <v>2</v>
      </c>
    </row>
    <row r="202" spans="1:2" x14ac:dyDescent="0.3">
      <c r="A202" s="5">
        <f ca="1">ROUND(_xlfn.NORM.INV(RAND(),Parameters!$B$2,Parameters!$B$3),0)</f>
        <v>17</v>
      </c>
      <c r="B202" s="4">
        <f t="shared" ca="1" si="3"/>
        <v>1</v>
      </c>
    </row>
    <row r="203" spans="1:2" x14ac:dyDescent="0.3">
      <c r="A203" s="5">
        <f ca="1">ROUND(_xlfn.NORM.INV(RAND(),Parameters!$B$2,Parameters!$B$3),0)</f>
        <v>43</v>
      </c>
      <c r="B203" s="4">
        <f t="shared" ca="1" si="3"/>
        <v>1</v>
      </c>
    </row>
    <row r="204" spans="1:2" x14ac:dyDescent="0.3">
      <c r="A204" s="5">
        <f ca="1">ROUND(_xlfn.NORM.INV(RAND(),Parameters!$B$2,Parameters!$B$3),0)</f>
        <v>48</v>
      </c>
      <c r="B204" s="4">
        <f t="shared" ca="1" si="3"/>
        <v>2</v>
      </c>
    </row>
    <row r="205" spans="1:2" x14ac:dyDescent="0.3">
      <c r="A205" s="5">
        <f ca="1">ROUND(_xlfn.NORM.INV(RAND(),Parameters!$B$2,Parameters!$B$3),0)</f>
        <v>37</v>
      </c>
      <c r="B205" s="4">
        <f t="shared" ca="1" si="3"/>
        <v>2</v>
      </c>
    </row>
    <row r="206" spans="1:2" x14ac:dyDescent="0.3">
      <c r="A206" s="5">
        <f ca="1">ROUND(_xlfn.NORM.INV(RAND(),Parameters!$B$2,Parameters!$B$3),0)</f>
        <v>36</v>
      </c>
      <c r="B206" s="4">
        <f t="shared" ca="1" si="3"/>
        <v>1</v>
      </c>
    </row>
    <row r="207" spans="1:2" x14ac:dyDescent="0.3">
      <c r="A207" s="5">
        <f ca="1">ROUND(_xlfn.NORM.INV(RAND(),Parameters!$B$2,Parameters!$B$3),0)</f>
        <v>40</v>
      </c>
      <c r="B207" s="4">
        <f t="shared" ca="1" si="3"/>
        <v>4</v>
      </c>
    </row>
    <row r="208" spans="1:2" x14ac:dyDescent="0.3">
      <c r="A208" s="5">
        <f ca="1">ROUND(_xlfn.NORM.INV(RAND(),Parameters!$B$2,Parameters!$B$3),0)</f>
        <v>40</v>
      </c>
      <c r="B208" s="4">
        <f t="shared" ca="1" si="3"/>
        <v>2</v>
      </c>
    </row>
    <row r="209" spans="1:2" x14ac:dyDescent="0.3">
      <c r="A209" s="5">
        <f ca="1">ROUND(_xlfn.NORM.INV(RAND(),Parameters!$B$2,Parameters!$B$3),0)</f>
        <v>51</v>
      </c>
      <c r="B209" s="4">
        <f t="shared" ca="1" si="3"/>
        <v>1</v>
      </c>
    </row>
    <row r="210" spans="1:2" x14ac:dyDescent="0.3">
      <c r="A210" s="5">
        <f ca="1">ROUND(_xlfn.NORM.INV(RAND(),Parameters!$B$2,Parameters!$B$3),0)</f>
        <v>40</v>
      </c>
      <c r="B210" s="4">
        <f t="shared" ca="1" si="3"/>
        <v>4</v>
      </c>
    </row>
    <row r="211" spans="1:2" x14ac:dyDescent="0.3">
      <c r="A211" s="5">
        <f ca="1">ROUND(_xlfn.NORM.INV(RAND(),Parameters!$B$2,Parameters!$B$3),0)</f>
        <v>26</v>
      </c>
      <c r="B211" s="4">
        <f t="shared" ca="1" si="3"/>
        <v>4</v>
      </c>
    </row>
    <row r="212" spans="1:2" x14ac:dyDescent="0.3">
      <c r="A212" s="5">
        <f ca="1">ROUND(_xlfn.NORM.INV(RAND(),Parameters!$B$2,Parameters!$B$3),0)</f>
        <v>38</v>
      </c>
      <c r="B212" s="4">
        <f t="shared" ca="1" si="3"/>
        <v>4</v>
      </c>
    </row>
    <row r="213" spans="1:2" x14ac:dyDescent="0.3">
      <c r="A213" s="5">
        <f ca="1">ROUND(_xlfn.NORM.INV(RAND(),Parameters!$B$2,Parameters!$B$3),0)</f>
        <v>38</v>
      </c>
      <c r="B213" s="4">
        <f t="shared" ca="1" si="3"/>
        <v>2</v>
      </c>
    </row>
    <row r="214" spans="1:2" x14ac:dyDescent="0.3">
      <c r="A214" s="5">
        <f ca="1">ROUND(_xlfn.NORM.INV(RAND(),Parameters!$B$2,Parameters!$B$3),0)</f>
        <v>42</v>
      </c>
      <c r="B214" s="4">
        <f t="shared" ca="1" si="3"/>
        <v>2</v>
      </c>
    </row>
    <row r="215" spans="1:2" x14ac:dyDescent="0.3">
      <c r="A215" s="5">
        <f ca="1">ROUND(_xlfn.NORM.INV(RAND(),Parameters!$B$2,Parameters!$B$3),0)</f>
        <v>25</v>
      </c>
      <c r="B215" s="4">
        <f t="shared" ca="1" si="3"/>
        <v>1</v>
      </c>
    </row>
    <row r="216" spans="1:2" x14ac:dyDescent="0.3">
      <c r="A216" s="5">
        <f ca="1">ROUND(_xlfn.NORM.INV(RAND(),Parameters!$B$2,Parameters!$B$3),0)</f>
        <v>34</v>
      </c>
      <c r="B216" s="4">
        <f t="shared" ca="1" si="3"/>
        <v>4</v>
      </c>
    </row>
    <row r="217" spans="1:2" x14ac:dyDescent="0.3">
      <c r="A217" s="5">
        <f ca="1">ROUND(_xlfn.NORM.INV(RAND(),Parameters!$B$2,Parameters!$B$3),0)</f>
        <v>35</v>
      </c>
      <c r="B217" s="4">
        <f t="shared" ca="1" si="3"/>
        <v>1</v>
      </c>
    </row>
    <row r="218" spans="1:2" x14ac:dyDescent="0.3">
      <c r="A218" s="5">
        <f ca="1">ROUND(_xlfn.NORM.INV(RAND(),Parameters!$B$2,Parameters!$B$3),0)</f>
        <v>39</v>
      </c>
      <c r="B218" s="4">
        <f t="shared" ca="1" si="3"/>
        <v>4</v>
      </c>
    </row>
    <row r="219" spans="1:2" x14ac:dyDescent="0.3">
      <c r="A219" s="5">
        <f ca="1">ROUND(_xlfn.NORM.INV(RAND(),Parameters!$B$2,Parameters!$B$3),0)</f>
        <v>33</v>
      </c>
      <c r="B219" s="4">
        <f t="shared" ca="1" si="3"/>
        <v>3</v>
      </c>
    </row>
    <row r="220" spans="1:2" x14ac:dyDescent="0.3">
      <c r="A220" s="5">
        <f ca="1">ROUND(_xlfn.NORM.INV(RAND(),Parameters!$B$2,Parameters!$B$3),0)</f>
        <v>36</v>
      </c>
      <c r="B220" s="4">
        <f t="shared" ca="1" si="3"/>
        <v>3</v>
      </c>
    </row>
    <row r="221" spans="1:2" x14ac:dyDescent="0.3">
      <c r="A221" s="5">
        <f ca="1">ROUND(_xlfn.NORM.INV(RAND(),Parameters!$B$2,Parameters!$B$3),0)</f>
        <v>42</v>
      </c>
      <c r="B221" s="4">
        <f t="shared" ca="1" si="3"/>
        <v>1</v>
      </c>
    </row>
    <row r="222" spans="1:2" x14ac:dyDescent="0.3">
      <c r="A222" s="5">
        <f ca="1">ROUND(_xlfn.NORM.INV(RAND(),Parameters!$B$2,Parameters!$B$3),0)</f>
        <v>49</v>
      </c>
      <c r="B222" s="4">
        <f t="shared" ca="1" si="3"/>
        <v>2</v>
      </c>
    </row>
    <row r="223" spans="1:2" x14ac:dyDescent="0.3">
      <c r="A223" s="5">
        <f ca="1">ROUND(_xlfn.NORM.INV(RAND(),Parameters!$B$2,Parameters!$B$3),0)</f>
        <v>38</v>
      </c>
      <c r="B223" s="4">
        <f t="shared" ca="1" si="3"/>
        <v>3</v>
      </c>
    </row>
    <row r="224" spans="1:2" x14ac:dyDescent="0.3">
      <c r="A224" s="5">
        <f ca="1">ROUND(_xlfn.NORM.INV(RAND(),Parameters!$B$2,Parameters!$B$3),0)</f>
        <v>46</v>
      </c>
      <c r="B224" s="4">
        <f t="shared" ca="1" si="3"/>
        <v>3</v>
      </c>
    </row>
    <row r="225" spans="1:2" x14ac:dyDescent="0.3">
      <c r="A225" s="5">
        <f ca="1">ROUND(_xlfn.NORM.INV(RAND(),Parameters!$B$2,Parameters!$B$3),0)</f>
        <v>34</v>
      </c>
      <c r="B225" s="4">
        <f t="shared" ca="1" si="3"/>
        <v>1</v>
      </c>
    </row>
    <row r="226" spans="1:2" x14ac:dyDescent="0.3">
      <c r="A226" s="5">
        <f ca="1">ROUND(_xlfn.NORM.INV(RAND(),Parameters!$B$2,Parameters!$B$3),0)</f>
        <v>35</v>
      </c>
      <c r="B226" s="4">
        <f t="shared" ca="1" si="3"/>
        <v>2</v>
      </c>
    </row>
    <row r="227" spans="1:2" x14ac:dyDescent="0.3">
      <c r="A227" s="5">
        <f ca="1">ROUND(_xlfn.NORM.INV(RAND(),Parameters!$B$2,Parameters!$B$3),0)</f>
        <v>28</v>
      </c>
      <c r="B227" s="4">
        <f t="shared" ca="1" si="3"/>
        <v>3</v>
      </c>
    </row>
    <row r="228" spans="1:2" x14ac:dyDescent="0.3">
      <c r="A228" s="5">
        <f ca="1">ROUND(_xlfn.NORM.INV(RAND(),Parameters!$B$2,Parameters!$B$3),0)</f>
        <v>22</v>
      </c>
      <c r="B228" s="4">
        <f t="shared" ca="1" si="3"/>
        <v>1</v>
      </c>
    </row>
    <row r="229" spans="1:2" x14ac:dyDescent="0.3">
      <c r="A229" s="5">
        <f ca="1">ROUND(_xlfn.NORM.INV(RAND(),Parameters!$B$2,Parameters!$B$3),0)</f>
        <v>40</v>
      </c>
      <c r="B229" s="4">
        <f t="shared" ca="1" si="3"/>
        <v>2</v>
      </c>
    </row>
    <row r="230" spans="1:2" x14ac:dyDescent="0.3">
      <c r="A230" s="5">
        <f ca="1">ROUND(_xlfn.NORM.INV(RAND(),Parameters!$B$2,Parameters!$B$3),0)</f>
        <v>49</v>
      </c>
      <c r="B230" s="4">
        <f t="shared" ca="1" si="3"/>
        <v>1</v>
      </c>
    </row>
    <row r="231" spans="1:2" x14ac:dyDescent="0.3">
      <c r="A231" s="5">
        <f ca="1">ROUND(_xlfn.NORM.INV(RAND(),Parameters!$B$2,Parameters!$B$3),0)</f>
        <v>43</v>
      </c>
      <c r="B231" s="4">
        <f t="shared" ca="1" si="3"/>
        <v>2</v>
      </c>
    </row>
    <row r="232" spans="1:2" x14ac:dyDescent="0.3">
      <c r="A232" s="5">
        <f ca="1">ROUND(_xlfn.NORM.INV(RAND(),Parameters!$B$2,Parameters!$B$3),0)</f>
        <v>50</v>
      </c>
      <c r="B232" s="4">
        <f t="shared" ca="1" si="3"/>
        <v>3</v>
      </c>
    </row>
    <row r="233" spans="1:2" x14ac:dyDescent="0.3">
      <c r="A233" s="5">
        <f ca="1">ROUND(_xlfn.NORM.INV(RAND(),Parameters!$B$2,Parameters!$B$3),0)</f>
        <v>47</v>
      </c>
      <c r="B233" s="4">
        <f t="shared" ca="1" si="3"/>
        <v>4</v>
      </c>
    </row>
    <row r="234" spans="1:2" x14ac:dyDescent="0.3">
      <c r="A234" s="5">
        <f ca="1">ROUND(_xlfn.NORM.INV(RAND(),Parameters!$B$2,Parameters!$B$3),0)</f>
        <v>35</v>
      </c>
      <c r="B234" s="4">
        <f t="shared" ca="1" si="3"/>
        <v>1</v>
      </c>
    </row>
    <row r="235" spans="1:2" x14ac:dyDescent="0.3">
      <c r="A235" s="5">
        <f ca="1">ROUND(_xlfn.NORM.INV(RAND(),Parameters!$B$2,Parameters!$B$3),0)</f>
        <v>45</v>
      </c>
      <c r="B235" s="4">
        <f t="shared" ca="1" si="3"/>
        <v>1</v>
      </c>
    </row>
    <row r="236" spans="1:2" x14ac:dyDescent="0.3">
      <c r="A236" s="5">
        <f ca="1">ROUND(_xlfn.NORM.INV(RAND(),Parameters!$B$2,Parameters!$B$3),0)</f>
        <v>50</v>
      </c>
      <c r="B236" s="4">
        <f t="shared" ca="1" si="3"/>
        <v>1</v>
      </c>
    </row>
    <row r="237" spans="1:2" x14ac:dyDescent="0.3">
      <c r="A237" s="5">
        <f ca="1">ROUND(_xlfn.NORM.INV(RAND(),Parameters!$B$2,Parameters!$B$3),0)</f>
        <v>21</v>
      </c>
      <c r="B237" s="4">
        <f t="shared" ca="1" si="3"/>
        <v>3</v>
      </c>
    </row>
    <row r="238" spans="1:2" x14ac:dyDescent="0.3">
      <c r="A238" s="5">
        <f ca="1">ROUND(_xlfn.NORM.INV(RAND(),Parameters!$B$2,Parameters!$B$3),0)</f>
        <v>53</v>
      </c>
      <c r="B238" s="4">
        <f t="shared" ca="1" si="3"/>
        <v>3</v>
      </c>
    </row>
    <row r="239" spans="1:2" x14ac:dyDescent="0.3">
      <c r="A239" s="5">
        <f ca="1">ROUND(_xlfn.NORM.INV(RAND(),Parameters!$B$2,Parameters!$B$3),0)</f>
        <v>35</v>
      </c>
      <c r="B239" s="4">
        <f t="shared" ca="1" si="3"/>
        <v>4</v>
      </c>
    </row>
    <row r="240" spans="1:2" x14ac:dyDescent="0.3">
      <c r="A240" s="5">
        <f ca="1">ROUND(_xlfn.NORM.INV(RAND(),Parameters!$B$2,Parameters!$B$3),0)</f>
        <v>48</v>
      </c>
      <c r="B240" s="4">
        <f t="shared" ca="1" si="3"/>
        <v>2</v>
      </c>
    </row>
    <row r="241" spans="1:2" x14ac:dyDescent="0.3">
      <c r="A241" s="5">
        <f ca="1">ROUND(_xlfn.NORM.INV(RAND(),Parameters!$B$2,Parameters!$B$3),0)</f>
        <v>60</v>
      </c>
      <c r="B241" s="4">
        <f t="shared" ca="1" si="3"/>
        <v>4</v>
      </c>
    </row>
    <row r="242" spans="1:2" x14ac:dyDescent="0.3">
      <c r="A242" s="5">
        <f ca="1">ROUND(_xlfn.NORM.INV(RAND(),Parameters!$B$2,Parameters!$B$3),0)</f>
        <v>63</v>
      </c>
      <c r="B242" s="4">
        <f t="shared" ca="1" si="3"/>
        <v>4</v>
      </c>
    </row>
    <row r="243" spans="1:2" x14ac:dyDescent="0.3">
      <c r="A243" s="5">
        <f ca="1">ROUND(_xlfn.NORM.INV(RAND(),Parameters!$B$2,Parameters!$B$3),0)</f>
        <v>41</v>
      </c>
      <c r="B243" s="4">
        <f t="shared" ca="1" si="3"/>
        <v>3</v>
      </c>
    </row>
    <row r="244" spans="1:2" x14ac:dyDescent="0.3">
      <c r="A244" s="5">
        <f ca="1">ROUND(_xlfn.NORM.INV(RAND(),Parameters!$B$2,Parameters!$B$3),0)</f>
        <v>55</v>
      </c>
      <c r="B244" s="4">
        <f t="shared" ca="1" si="3"/>
        <v>1</v>
      </c>
    </row>
    <row r="245" spans="1:2" x14ac:dyDescent="0.3">
      <c r="A245" s="5">
        <f ca="1">ROUND(_xlfn.NORM.INV(RAND(),Parameters!$B$2,Parameters!$B$3),0)</f>
        <v>43</v>
      </c>
      <c r="B245" s="4">
        <f t="shared" ca="1" si="3"/>
        <v>1</v>
      </c>
    </row>
    <row r="246" spans="1:2" x14ac:dyDescent="0.3">
      <c r="A246" s="5">
        <f ca="1">ROUND(_xlfn.NORM.INV(RAND(),Parameters!$B$2,Parameters!$B$3),0)</f>
        <v>42</v>
      </c>
      <c r="B246" s="4">
        <f t="shared" ca="1" si="3"/>
        <v>2</v>
      </c>
    </row>
    <row r="247" spans="1:2" x14ac:dyDescent="0.3">
      <c r="A247" s="5">
        <f ca="1">ROUND(_xlfn.NORM.INV(RAND(),Parameters!$B$2,Parameters!$B$3),0)</f>
        <v>36</v>
      </c>
      <c r="B247" s="4">
        <f t="shared" ca="1" si="3"/>
        <v>4</v>
      </c>
    </row>
    <row r="248" spans="1:2" x14ac:dyDescent="0.3">
      <c r="A248" s="5">
        <f ca="1">ROUND(_xlfn.NORM.INV(RAND(),Parameters!$B$2,Parameters!$B$3),0)</f>
        <v>37</v>
      </c>
      <c r="B248" s="4">
        <f t="shared" ca="1" si="3"/>
        <v>1</v>
      </c>
    </row>
    <row r="249" spans="1:2" x14ac:dyDescent="0.3">
      <c r="A249" s="5">
        <f ca="1">ROUND(_xlfn.NORM.INV(RAND(),Parameters!$B$2,Parameters!$B$3),0)</f>
        <v>24</v>
      </c>
      <c r="B249" s="4">
        <f t="shared" ca="1" si="3"/>
        <v>4</v>
      </c>
    </row>
    <row r="250" spans="1:2" x14ac:dyDescent="0.3">
      <c r="A250" s="5">
        <f ca="1">ROUND(_xlfn.NORM.INV(RAND(),Parameters!$B$2,Parameters!$B$3),0)</f>
        <v>44</v>
      </c>
      <c r="B250" s="4">
        <f t="shared" ca="1" si="3"/>
        <v>3</v>
      </c>
    </row>
    <row r="251" spans="1:2" x14ac:dyDescent="0.3">
      <c r="A251" s="5">
        <f ca="1">ROUND(_xlfn.NORM.INV(RAND(),Parameters!$B$2,Parameters!$B$3),0)</f>
        <v>40</v>
      </c>
      <c r="B251" s="4">
        <f t="shared" ca="1" si="3"/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1"/>
  <sheetViews>
    <sheetView workbookViewId="0">
      <selection activeCell="A2" sqref="A2"/>
    </sheetView>
  </sheetViews>
  <sheetFormatPr defaultRowHeight="14.4" x14ac:dyDescent="0.3"/>
  <cols>
    <col min="1" max="1" width="13.88671875" style="2" customWidth="1"/>
    <col min="2" max="2" width="11.88671875" style="2" customWidth="1"/>
    <col min="3" max="3" width="18" style="2" customWidth="1"/>
    <col min="4" max="16384" width="8.88671875" style="2"/>
  </cols>
  <sheetData>
    <row r="1" spans="1:3" ht="19.2" thickBot="1" x14ac:dyDescent="0.5">
      <c r="A1" s="1" t="s">
        <v>3</v>
      </c>
      <c r="B1" s="1" t="s">
        <v>4</v>
      </c>
      <c r="C1" s="1" t="s">
        <v>14</v>
      </c>
    </row>
    <row r="2" spans="1:3" x14ac:dyDescent="0.3">
      <c r="A2" s="6">
        <v>35</v>
      </c>
      <c r="B2" s="3">
        <v>2</v>
      </c>
      <c r="C2" s="3">
        <f>IF(B2=2,A2," ")</f>
        <v>35</v>
      </c>
    </row>
    <row r="3" spans="1:3" x14ac:dyDescent="0.3">
      <c r="A3" s="5">
        <v>46</v>
      </c>
      <c r="B3" s="4">
        <v>1</v>
      </c>
      <c r="C3" s="4" t="str">
        <f t="shared" ref="C3:C66" si="0">IF(B3=2,A3," ")</f>
        <v xml:space="preserve"> </v>
      </c>
    </row>
    <row r="4" spans="1:3" x14ac:dyDescent="0.3">
      <c r="A4" s="5">
        <v>43</v>
      </c>
      <c r="B4" s="4">
        <v>1</v>
      </c>
      <c r="C4" s="4" t="str">
        <f t="shared" si="0"/>
        <v xml:space="preserve"> </v>
      </c>
    </row>
    <row r="5" spans="1:3" x14ac:dyDescent="0.3">
      <c r="A5" s="5">
        <v>15</v>
      </c>
      <c r="B5" s="4">
        <v>2</v>
      </c>
      <c r="C5" s="4">
        <f t="shared" si="0"/>
        <v>15</v>
      </c>
    </row>
    <row r="6" spans="1:3" x14ac:dyDescent="0.3">
      <c r="A6" s="5">
        <v>22</v>
      </c>
      <c r="B6" s="4">
        <v>1</v>
      </c>
      <c r="C6" s="4" t="str">
        <f t="shared" si="0"/>
        <v xml:space="preserve"> </v>
      </c>
    </row>
    <row r="7" spans="1:3" x14ac:dyDescent="0.3">
      <c r="A7" s="5">
        <v>46</v>
      </c>
      <c r="B7" s="4">
        <v>1</v>
      </c>
      <c r="C7" s="4" t="str">
        <f t="shared" si="0"/>
        <v xml:space="preserve"> </v>
      </c>
    </row>
    <row r="8" spans="1:3" x14ac:dyDescent="0.3">
      <c r="A8" s="5">
        <v>39</v>
      </c>
      <c r="B8" s="4">
        <v>1</v>
      </c>
      <c r="C8" s="4" t="str">
        <f t="shared" si="0"/>
        <v xml:space="preserve"> </v>
      </c>
    </row>
    <row r="9" spans="1:3" x14ac:dyDescent="0.3">
      <c r="A9" s="5">
        <v>36</v>
      </c>
      <c r="B9" s="4">
        <v>3</v>
      </c>
      <c r="C9" s="4" t="str">
        <f t="shared" si="0"/>
        <v xml:space="preserve"> </v>
      </c>
    </row>
    <row r="10" spans="1:3" x14ac:dyDescent="0.3">
      <c r="A10" s="5">
        <v>48</v>
      </c>
      <c r="B10" s="4">
        <v>4</v>
      </c>
      <c r="C10" s="4" t="str">
        <f t="shared" si="0"/>
        <v xml:space="preserve"> </v>
      </c>
    </row>
    <row r="11" spans="1:3" x14ac:dyDescent="0.3">
      <c r="A11" s="5">
        <v>38</v>
      </c>
      <c r="B11" s="4">
        <v>3</v>
      </c>
      <c r="C11" s="4" t="str">
        <f t="shared" si="0"/>
        <v xml:space="preserve"> </v>
      </c>
    </row>
    <row r="12" spans="1:3" x14ac:dyDescent="0.3">
      <c r="A12" s="5">
        <v>40</v>
      </c>
      <c r="B12" s="4">
        <v>2</v>
      </c>
      <c r="C12" s="4">
        <f t="shared" si="0"/>
        <v>40</v>
      </c>
    </row>
    <row r="13" spans="1:3" x14ac:dyDescent="0.3">
      <c r="A13" s="5">
        <v>50</v>
      </c>
      <c r="B13" s="4">
        <v>2</v>
      </c>
      <c r="C13" s="4">
        <f t="shared" si="0"/>
        <v>50</v>
      </c>
    </row>
    <row r="14" spans="1:3" x14ac:dyDescent="0.3">
      <c r="A14" s="5">
        <v>30</v>
      </c>
      <c r="B14" s="4">
        <v>2</v>
      </c>
      <c r="C14" s="4">
        <f t="shared" si="0"/>
        <v>30</v>
      </c>
    </row>
    <row r="15" spans="1:3" x14ac:dyDescent="0.3">
      <c r="A15" s="5">
        <v>52</v>
      </c>
      <c r="B15" s="4">
        <v>2</v>
      </c>
      <c r="C15" s="4">
        <f t="shared" si="0"/>
        <v>52</v>
      </c>
    </row>
    <row r="16" spans="1:3" x14ac:dyDescent="0.3">
      <c r="A16" s="5">
        <v>27</v>
      </c>
      <c r="B16" s="4">
        <v>3</v>
      </c>
      <c r="C16" s="4" t="str">
        <f t="shared" si="0"/>
        <v xml:space="preserve"> </v>
      </c>
    </row>
    <row r="17" spans="1:3" x14ac:dyDescent="0.3">
      <c r="A17" s="5">
        <v>24</v>
      </c>
      <c r="B17" s="4">
        <v>3</v>
      </c>
      <c r="C17" s="4" t="str">
        <f t="shared" si="0"/>
        <v xml:space="preserve"> </v>
      </c>
    </row>
    <row r="18" spans="1:3" x14ac:dyDescent="0.3">
      <c r="A18" s="5">
        <v>37</v>
      </c>
      <c r="B18" s="4">
        <v>4</v>
      </c>
      <c r="C18" s="4" t="str">
        <f t="shared" si="0"/>
        <v xml:space="preserve"> </v>
      </c>
    </row>
    <row r="19" spans="1:3" x14ac:dyDescent="0.3">
      <c r="A19" s="5">
        <v>43</v>
      </c>
      <c r="B19" s="4">
        <v>1</v>
      </c>
      <c r="C19" s="4" t="str">
        <f t="shared" si="0"/>
        <v xml:space="preserve"> </v>
      </c>
    </row>
    <row r="20" spans="1:3" x14ac:dyDescent="0.3">
      <c r="A20" s="5">
        <v>35</v>
      </c>
      <c r="B20" s="4">
        <v>1</v>
      </c>
      <c r="C20" s="4" t="str">
        <f t="shared" si="0"/>
        <v xml:space="preserve"> </v>
      </c>
    </row>
    <row r="21" spans="1:3" x14ac:dyDescent="0.3">
      <c r="A21" s="5">
        <v>37</v>
      </c>
      <c r="B21" s="4">
        <v>3</v>
      </c>
      <c r="C21" s="4" t="str">
        <f t="shared" si="0"/>
        <v xml:space="preserve"> </v>
      </c>
    </row>
    <row r="22" spans="1:3" x14ac:dyDescent="0.3">
      <c r="A22" s="5">
        <v>55</v>
      </c>
      <c r="B22" s="4">
        <v>3</v>
      </c>
      <c r="C22" s="4" t="str">
        <f t="shared" si="0"/>
        <v xml:space="preserve"> </v>
      </c>
    </row>
    <row r="23" spans="1:3" x14ac:dyDescent="0.3">
      <c r="A23" s="5">
        <v>32</v>
      </c>
      <c r="B23" s="4">
        <v>2</v>
      </c>
      <c r="C23" s="4">
        <f t="shared" si="0"/>
        <v>32</v>
      </c>
    </row>
    <row r="24" spans="1:3" x14ac:dyDescent="0.3">
      <c r="A24" s="5">
        <v>40</v>
      </c>
      <c r="B24" s="4">
        <v>2</v>
      </c>
      <c r="C24" s="4">
        <f t="shared" si="0"/>
        <v>40</v>
      </c>
    </row>
    <row r="25" spans="1:3" x14ac:dyDescent="0.3">
      <c r="A25" s="5">
        <v>24</v>
      </c>
      <c r="B25" s="4">
        <v>3</v>
      </c>
      <c r="C25" s="4" t="str">
        <f t="shared" si="0"/>
        <v xml:space="preserve"> </v>
      </c>
    </row>
    <row r="26" spans="1:3" x14ac:dyDescent="0.3">
      <c r="A26" s="5">
        <v>48</v>
      </c>
      <c r="B26" s="4">
        <v>4</v>
      </c>
      <c r="C26" s="4" t="str">
        <f t="shared" si="0"/>
        <v xml:space="preserve"> </v>
      </c>
    </row>
    <row r="27" spans="1:3" x14ac:dyDescent="0.3">
      <c r="A27" s="5">
        <v>39</v>
      </c>
      <c r="B27" s="4">
        <v>1</v>
      </c>
      <c r="C27" s="4" t="str">
        <f t="shared" si="0"/>
        <v xml:space="preserve"> </v>
      </c>
    </row>
    <row r="28" spans="1:3" x14ac:dyDescent="0.3">
      <c r="A28" s="5">
        <v>15</v>
      </c>
      <c r="B28" s="4">
        <v>2</v>
      </c>
      <c r="C28" s="4">
        <f t="shared" si="0"/>
        <v>15</v>
      </c>
    </row>
    <row r="29" spans="1:3" x14ac:dyDescent="0.3">
      <c r="A29" s="5">
        <v>58</v>
      </c>
      <c r="B29" s="4">
        <v>3</v>
      </c>
      <c r="C29" s="4" t="str">
        <f t="shared" si="0"/>
        <v xml:space="preserve"> </v>
      </c>
    </row>
    <row r="30" spans="1:3" x14ac:dyDescent="0.3">
      <c r="A30" s="5">
        <v>45</v>
      </c>
      <c r="B30" s="4">
        <v>3</v>
      </c>
      <c r="C30" s="4" t="str">
        <f t="shared" si="0"/>
        <v xml:space="preserve"> </v>
      </c>
    </row>
    <row r="31" spans="1:3" x14ac:dyDescent="0.3">
      <c r="A31" s="5">
        <v>39</v>
      </c>
      <c r="B31" s="4">
        <v>3</v>
      </c>
      <c r="C31" s="4" t="str">
        <f t="shared" si="0"/>
        <v xml:space="preserve"> </v>
      </c>
    </row>
    <row r="32" spans="1:3" x14ac:dyDescent="0.3">
      <c r="A32" s="5">
        <v>16</v>
      </c>
      <c r="B32" s="4">
        <v>3</v>
      </c>
      <c r="C32" s="4" t="str">
        <f t="shared" si="0"/>
        <v xml:space="preserve"> </v>
      </c>
    </row>
    <row r="33" spans="1:3" x14ac:dyDescent="0.3">
      <c r="A33" s="5">
        <v>40</v>
      </c>
      <c r="B33" s="4">
        <v>1</v>
      </c>
      <c r="C33" s="4" t="str">
        <f t="shared" si="0"/>
        <v xml:space="preserve"> </v>
      </c>
    </row>
    <row r="34" spans="1:3" x14ac:dyDescent="0.3">
      <c r="A34" s="5">
        <v>32</v>
      </c>
      <c r="B34" s="4">
        <v>2</v>
      </c>
      <c r="C34" s="4">
        <f t="shared" si="0"/>
        <v>32</v>
      </c>
    </row>
    <row r="35" spans="1:3" x14ac:dyDescent="0.3">
      <c r="A35" s="5">
        <v>31</v>
      </c>
      <c r="B35" s="4">
        <v>2</v>
      </c>
      <c r="C35" s="4">
        <f t="shared" si="0"/>
        <v>31</v>
      </c>
    </row>
    <row r="36" spans="1:3" x14ac:dyDescent="0.3">
      <c r="A36" s="5">
        <v>29</v>
      </c>
      <c r="B36" s="4">
        <v>4</v>
      </c>
      <c r="C36" s="4" t="str">
        <f t="shared" si="0"/>
        <v xml:space="preserve"> </v>
      </c>
    </row>
    <row r="37" spans="1:3" x14ac:dyDescent="0.3">
      <c r="A37" s="5">
        <v>18</v>
      </c>
      <c r="B37" s="4">
        <v>2</v>
      </c>
      <c r="C37" s="4">
        <f t="shared" si="0"/>
        <v>18</v>
      </c>
    </row>
    <row r="38" spans="1:3" x14ac:dyDescent="0.3">
      <c r="A38" s="5">
        <v>29</v>
      </c>
      <c r="B38" s="4">
        <v>2</v>
      </c>
      <c r="C38" s="4">
        <f t="shared" si="0"/>
        <v>29</v>
      </c>
    </row>
    <row r="39" spans="1:3" x14ac:dyDescent="0.3">
      <c r="A39" s="5">
        <v>10</v>
      </c>
      <c r="B39" s="4">
        <v>1</v>
      </c>
      <c r="C39" s="4" t="str">
        <f t="shared" si="0"/>
        <v xml:space="preserve"> </v>
      </c>
    </row>
    <row r="40" spans="1:3" x14ac:dyDescent="0.3">
      <c r="A40" s="5">
        <v>45</v>
      </c>
      <c r="B40" s="4">
        <v>3</v>
      </c>
      <c r="C40" s="4" t="str">
        <f t="shared" si="0"/>
        <v xml:space="preserve"> </v>
      </c>
    </row>
    <row r="41" spans="1:3" x14ac:dyDescent="0.3">
      <c r="A41" s="5">
        <v>44</v>
      </c>
      <c r="B41" s="4">
        <v>1</v>
      </c>
      <c r="C41" s="4" t="str">
        <f t="shared" si="0"/>
        <v xml:space="preserve"> </v>
      </c>
    </row>
    <row r="42" spans="1:3" x14ac:dyDescent="0.3">
      <c r="A42" s="5">
        <v>58</v>
      </c>
      <c r="B42" s="4">
        <v>2</v>
      </c>
      <c r="C42" s="4">
        <f t="shared" si="0"/>
        <v>58</v>
      </c>
    </row>
    <row r="43" spans="1:3" x14ac:dyDescent="0.3">
      <c r="A43" s="5">
        <v>36</v>
      </c>
      <c r="B43" s="4">
        <v>2</v>
      </c>
      <c r="C43" s="4">
        <f t="shared" si="0"/>
        <v>36</v>
      </c>
    </row>
    <row r="44" spans="1:3" x14ac:dyDescent="0.3">
      <c r="A44" s="5">
        <v>31</v>
      </c>
      <c r="B44" s="4">
        <v>2</v>
      </c>
      <c r="C44" s="4">
        <f t="shared" si="0"/>
        <v>31</v>
      </c>
    </row>
    <row r="45" spans="1:3" x14ac:dyDescent="0.3">
      <c r="A45" s="5">
        <v>48</v>
      </c>
      <c r="B45" s="4">
        <v>4</v>
      </c>
      <c r="C45" s="4" t="str">
        <f t="shared" si="0"/>
        <v xml:space="preserve"> </v>
      </c>
    </row>
    <row r="46" spans="1:3" x14ac:dyDescent="0.3">
      <c r="A46" s="5">
        <v>16</v>
      </c>
      <c r="B46" s="4">
        <v>2</v>
      </c>
      <c r="C46" s="4">
        <f t="shared" si="0"/>
        <v>16</v>
      </c>
    </row>
    <row r="47" spans="1:3" x14ac:dyDescent="0.3">
      <c r="A47" s="5">
        <v>52</v>
      </c>
      <c r="B47" s="4">
        <v>3</v>
      </c>
      <c r="C47" s="4" t="str">
        <f t="shared" si="0"/>
        <v xml:space="preserve"> </v>
      </c>
    </row>
    <row r="48" spans="1:3" x14ac:dyDescent="0.3">
      <c r="A48" s="5">
        <v>32</v>
      </c>
      <c r="B48" s="4">
        <v>2</v>
      </c>
      <c r="C48" s="4">
        <f t="shared" si="0"/>
        <v>32</v>
      </c>
    </row>
    <row r="49" spans="1:3" x14ac:dyDescent="0.3">
      <c r="A49" s="5">
        <v>40</v>
      </c>
      <c r="B49" s="4">
        <v>3</v>
      </c>
      <c r="C49" s="4" t="str">
        <f t="shared" si="0"/>
        <v xml:space="preserve"> </v>
      </c>
    </row>
    <row r="50" spans="1:3" x14ac:dyDescent="0.3">
      <c r="A50" s="5">
        <v>41</v>
      </c>
      <c r="B50" s="4">
        <v>3</v>
      </c>
      <c r="C50" s="4" t="str">
        <f t="shared" si="0"/>
        <v xml:space="preserve"> </v>
      </c>
    </row>
    <row r="51" spans="1:3" x14ac:dyDescent="0.3">
      <c r="A51" s="5">
        <v>28</v>
      </c>
      <c r="B51" s="4">
        <v>2</v>
      </c>
      <c r="C51" s="4">
        <f t="shared" si="0"/>
        <v>28</v>
      </c>
    </row>
    <row r="52" spans="1:3" x14ac:dyDescent="0.3">
      <c r="A52" s="5">
        <v>40</v>
      </c>
      <c r="B52" s="4">
        <v>3</v>
      </c>
      <c r="C52" s="4" t="str">
        <f t="shared" si="0"/>
        <v xml:space="preserve"> </v>
      </c>
    </row>
    <row r="53" spans="1:3" x14ac:dyDescent="0.3">
      <c r="A53" s="5">
        <v>43</v>
      </c>
      <c r="B53" s="4">
        <v>1</v>
      </c>
      <c r="C53" s="4" t="str">
        <f t="shared" si="0"/>
        <v xml:space="preserve"> </v>
      </c>
    </row>
    <row r="54" spans="1:3" x14ac:dyDescent="0.3">
      <c r="A54" s="5">
        <v>49</v>
      </c>
      <c r="B54" s="4">
        <v>4</v>
      </c>
      <c r="C54" s="4" t="str">
        <f t="shared" si="0"/>
        <v xml:space="preserve"> </v>
      </c>
    </row>
    <row r="55" spans="1:3" x14ac:dyDescent="0.3">
      <c r="A55" s="5">
        <v>26</v>
      </c>
      <c r="B55" s="4">
        <v>3</v>
      </c>
      <c r="C55" s="4" t="str">
        <f t="shared" si="0"/>
        <v xml:space="preserve"> </v>
      </c>
    </row>
    <row r="56" spans="1:3" x14ac:dyDescent="0.3">
      <c r="A56" s="5">
        <v>41</v>
      </c>
      <c r="B56" s="4">
        <v>3</v>
      </c>
      <c r="C56" s="4" t="str">
        <f t="shared" si="0"/>
        <v xml:space="preserve"> </v>
      </c>
    </row>
    <row r="57" spans="1:3" x14ac:dyDescent="0.3">
      <c r="A57" s="5">
        <v>41</v>
      </c>
      <c r="B57" s="4">
        <v>4</v>
      </c>
      <c r="C57" s="4" t="str">
        <f t="shared" si="0"/>
        <v xml:space="preserve"> </v>
      </c>
    </row>
    <row r="58" spans="1:3" x14ac:dyDescent="0.3">
      <c r="A58" s="5">
        <v>48</v>
      </c>
      <c r="B58" s="4">
        <v>4</v>
      </c>
      <c r="C58" s="4" t="str">
        <f t="shared" si="0"/>
        <v xml:space="preserve"> </v>
      </c>
    </row>
    <row r="59" spans="1:3" x14ac:dyDescent="0.3">
      <c r="A59" s="5">
        <v>31</v>
      </c>
      <c r="B59" s="4">
        <v>3</v>
      </c>
      <c r="C59" s="4" t="str">
        <f t="shared" si="0"/>
        <v xml:space="preserve"> </v>
      </c>
    </row>
    <row r="60" spans="1:3" x14ac:dyDescent="0.3">
      <c r="A60" s="5">
        <v>53</v>
      </c>
      <c r="B60" s="4">
        <v>1</v>
      </c>
      <c r="C60" s="4" t="str">
        <f t="shared" si="0"/>
        <v xml:space="preserve"> </v>
      </c>
    </row>
    <row r="61" spans="1:3" x14ac:dyDescent="0.3">
      <c r="A61" s="5">
        <v>56</v>
      </c>
      <c r="B61" s="4">
        <v>1</v>
      </c>
      <c r="C61" s="4" t="str">
        <f t="shared" si="0"/>
        <v xml:space="preserve"> </v>
      </c>
    </row>
    <row r="62" spans="1:3" x14ac:dyDescent="0.3">
      <c r="A62" s="5">
        <v>38</v>
      </c>
      <c r="B62" s="4">
        <v>1</v>
      </c>
      <c r="C62" s="4" t="str">
        <f t="shared" si="0"/>
        <v xml:space="preserve"> </v>
      </c>
    </row>
    <row r="63" spans="1:3" x14ac:dyDescent="0.3">
      <c r="A63" s="5">
        <v>53</v>
      </c>
      <c r="B63" s="4">
        <v>4</v>
      </c>
      <c r="C63" s="4" t="str">
        <f t="shared" si="0"/>
        <v xml:space="preserve"> </v>
      </c>
    </row>
    <row r="64" spans="1:3" x14ac:dyDescent="0.3">
      <c r="A64" s="5">
        <v>53</v>
      </c>
      <c r="B64" s="4">
        <v>4</v>
      </c>
      <c r="C64" s="4" t="str">
        <f t="shared" si="0"/>
        <v xml:space="preserve"> </v>
      </c>
    </row>
    <row r="65" spans="1:3" x14ac:dyDescent="0.3">
      <c r="A65" s="5">
        <v>33</v>
      </c>
      <c r="B65" s="4">
        <v>3</v>
      </c>
      <c r="C65" s="4" t="str">
        <f t="shared" si="0"/>
        <v xml:space="preserve"> </v>
      </c>
    </row>
    <row r="66" spans="1:3" x14ac:dyDescent="0.3">
      <c r="A66" s="5">
        <v>42</v>
      </c>
      <c r="B66" s="4">
        <v>2</v>
      </c>
      <c r="C66" s="4">
        <f t="shared" si="0"/>
        <v>42</v>
      </c>
    </row>
    <row r="67" spans="1:3" x14ac:dyDescent="0.3">
      <c r="A67" s="5">
        <v>36</v>
      </c>
      <c r="B67" s="4">
        <v>3</v>
      </c>
      <c r="C67" s="4" t="str">
        <f t="shared" ref="C67:C130" si="1">IF(B67=2,A67," ")</f>
        <v xml:space="preserve"> </v>
      </c>
    </row>
    <row r="68" spans="1:3" x14ac:dyDescent="0.3">
      <c r="A68" s="5">
        <v>36</v>
      </c>
      <c r="B68" s="4">
        <v>1</v>
      </c>
      <c r="C68" s="4" t="str">
        <f t="shared" si="1"/>
        <v xml:space="preserve"> </v>
      </c>
    </row>
    <row r="69" spans="1:3" x14ac:dyDescent="0.3">
      <c r="A69" s="5">
        <v>49</v>
      </c>
      <c r="B69" s="4">
        <v>2</v>
      </c>
      <c r="C69" s="4">
        <f t="shared" si="1"/>
        <v>49</v>
      </c>
    </row>
    <row r="70" spans="1:3" x14ac:dyDescent="0.3">
      <c r="A70" s="5">
        <v>29</v>
      </c>
      <c r="B70" s="4">
        <v>3</v>
      </c>
      <c r="C70" s="4" t="str">
        <f t="shared" si="1"/>
        <v xml:space="preserve"> </v>
      </c>
    </row>
    <row r="71" spans="1:3" x14ac:dyDescent="0.3">
      <c r="A71" s="5">
        <v>34</v>
      </c>
      <c r="B71" s="4">
        <v>2</v>
      </c>
      <c r="C71" s="4">
        <f t="shared" si="1"/>
        <v>34</v>
      </c>
    </row>
    <row r="72" spans="1:3" x14ac:dyDescent="0.3">
      <c r="A72" s="5">
        <v>33</v>
      </c>
      <c r="B72" s="4">
        <v>2</v>
      </c>
      <c r="C72" s="4">
        <f t="shared" si="1"/>
        <v>33</v>
      </c>
    </row>
    <row r="73" spans="1:3" x14ac:dyDescent="0.3">
      <c r="A73" s="5">
        <v>44</v>
      </c>
      <c r="B73" s="4">
        <v>4</v>
      </c>
      <c r="C73" s="4" t="str">
        <f t="shared" si="1"/>
        <v xml:space="preserve"> </v>
      </c>
    </row>
    <row r="74" spans="1:3" x14ac:dyDescent="0.3">
      <c r="A74" s="5">
        <v>29</v>
      </c>
      <c r="B74" s="4">
        <v>1</v>
      </c>
      <c r="C74" s="4" t="str">
        <f t="shared" si="1"/>
        <v xml:space="preserve"> </v>
      </c>
    </row>
    <row r="75" spans="1:3" x14ac:dyDescent="0.3">
      <c r="A75" s="5">
        <v>38</v>
      </c>
      <c r="B75" s="4">
        <v>4</v>
      </c>
      <c r="C75" s="4" t="str">
        <f t="shared" si="1"/>
        <v xml:space="preserve"> </v>
      </c>
    </row>
    <row r="76" spans="1:3" x14ac:dyDescent="0.3">
      <c r="A76" s="5">
        <v>35</v>
      </c>
      <c r="B76" s="4">
        <v>1</v>
      </c>
      <c r="C76" s="4" t="str">
        <f t="shared" si="1"/>
        <v xml:space="preserve"> </v>
      </c>
    </row>
    <row r="77" spans="1:3" x14ac:dyDescent="0.3">
      <c r="A77" s="5">
        <v>46</v>
      </c>
      <c r="B77" s="4">
        <v>2</v>
      </c>
      <c r="C77" s="4">
        <f t="shared" si="1"/>
        <v>46</v>
      </c>
    </row>
    <row r="78" spans="1:3" x14ac:dyDescent="0.3">
      <c r="A78" s="5">
        <v>29</v>
      </c>
      <c r="B78" s="4">
        <v>1</v>
      </c>
      <c r="C78" s="4" t="str">
        <f t="shared" si="1"/>
        <v xml:space="preserve"> </v>
      </c>
    </row>
    <row r="79" spans="1:3" x14ac:dyDescent="0.3">
      <c r="A79" s="5">
        <v>36</v>
      </c>
      <c r="B79" s="4">
        <v>1</v>
      </c>
      <c r="C79" s="4" t="str">
        <f t="shared" si="1"/>
        <v xml:space="preserve"> </v>
      </c>
    </row>
    <row r="80" spans="1:3" x14ac:dyDescent="0.3">
      <c r="A80" s="5">
        <v>27</v>
      </c>
      <c r="B80" s="4">
        <v>4</v>
      </c>
      <c r="C80" s="4" t="str">
        <f t="shared" si="1"/>
        <v xml:space="preserve"> </v>
      </c>
    </row>
    <row r="81" spans="1:3" x14ac:dyDescent="0.3">
      <c r="A81" s="5">
        <v>35</v>
      </c>
      <c r="B81" s="4">
        <v>4</v>
      </c>
      <c r="C81" s="4" t="str">
        <f t="shared" si="1"/>
        <v xml:space="preserve"> </v>
      </c>
    </row>
    <row r="82" spans="1:3" x14ac:dyDescent="0.3">
      <c r="A82" s="5">
        <v>27</v>
      </c>
      <c r="B82" s="4">
        <v>2</v>
      </c>
      <c r="C82" s="4">
        <f t="shared" si="1"/>
        <v>27</v>
      </c>
    </row>
    <row r="83" spans="1:3" x14ac:dyDescent="0.3">
      <c r="A83" s="5">
        <v>36</v>
      </c>
      <c r="B83" s="4">
        <v>1</v>
      </c>
      <c r="C83" s="4" t="str">
        <f t="shared" si="1"/>
        <v xml:space="preserve"> </v>
      </c>
    </row>
    <row r="84" spans="1:3" x14ac:dyDescent="0.3">
      <c r="A84" s="5">
        <v>34</v>
      </c>
      <c r="B84" s="4">
        <v>1</v>
      </c>
      <c r="C84" s="4" t="str">
        <f t="shared" si="1"/>
        <v xml:space="preserve"> </v>
      </c>
    </row>
    <row r="85" spans="1:3" x14ac:dyDescent="0.3">
      <c r="A85" s="5">
        <v>24</v>
      </c>
      <c r="B85" s="4">
        <v>1</v>
      </c>
      <c r="C85" s="4" t="str">
        <f t="shared" si="1"/>
        <v xml:space="preserve"> </v>
      </c>
    </row>
    <row r="86" spans="1:3" x14ac:dyDescent="0.3">
      <c r="A86" s="5">
        <v>19</v>
      </c>
      <c r="B86" s="4">
        <v>1</v>
      </c>
      <c r="C86" s="4" t="str">
        <f t="shared" si="1"/>
        <v xml:space="preserve"> </v>
      </c>
    </row>
    <row r="87" spans="1:3" x14ac:dyDescent="0.3">
      <c r="A87" s="5">
        <v>31</v>
      </c>
      <c r="B87" s="4">
        <v>4</v>
      </c>
      <c r="C87" s="4" t="str">
        <f t="shared" si="1"/>
        <v xml:space="preserve"> </v>
      </c>
    </row>
    <row r="88" spans="1:3" x14ac:dyDescent="0.3">
      <c r="A88" s="5">
        <v>37</v>
      </c>
      <c r="B88" s="4">
        <v>1</v>
      </c>
      <c r="C88" s="4" t="str">
        <f t="shared" si="1"/>
        <v xml:space="preserve"> </v>
      </c>
    </row>
    <row r="89" spans="1:3" x14ac:dyDescent="0.3">
      <c r="A89" s="5">
        <v>43</v>
      </c>
      <c r="B89" s="4">
        <v>3</v>
      </c>
      <c r="C89" s="4" t="str">
        <f t="shared" si="1"/>
        <v xml:space="preserve"> </v>
      </c>
    </row>
    <row r="90" spans="1:3" x14ac:dyDescent="0.3">
      <c r="A90" s="5">
        <v>64</v>
      </c>
      <c r="B90" s="4">
        <v>3</v>
      </c>
      <c r="C90" s="4" t="str">
        <f t="shared" si="1"/>
        <v xml:space="preserve"> </v>
      </c>
    </row>
    <row r="91" spans="1:3" x14ac:dyDescent="0.3">
      <c r="A91" s="5">
        <v>44</v>
      </c>
      <c r="B91" s="4">
        <v>2</v>
      </c>
      <c r="C91" s="4">
        <f t="shared" si="1"/>
        <v>44</v>
      </c>
    </row>
    <row r="92" spans="1:3" x14ac:dyDescent="0.3">
      <c r="A92" s="5">
        <v>40</v>
      </c>
      <c r="B92" s="4">
        <v>3</v>
      </c>
      <c r="C92" s="4" t="str">
        <f t="shared" si="1"/>
        <v xml:space="preserve"> </v>
      </c>
    </row>
    <row r="93" spans="1:3" x14ac:dyDescent="0.3">
      <c r="A93" s="5">
        <v>25</v>
      </c>
      <c r="B93" s="4">
        <v>4</v>
      </c>
      <c r="C93" s="4" t="str">
        <f t="shared" si="1"/>
        <v xml:space="preserve"> </v>
      </c>
    </row>
    <row r="94" spans="1:3" x14ac:dyDescent="0.3">
      <c r="A94" s="5">
        <v>33</v>
      </c>
      <c r="B94" s="4">
        <v>1</v>
      </c>
      <c r="C94" s="4" t="str">
        <f t="shared" si="1"/>
        <v xml:space="preserve"> </v>
      </c>
    </row>
    <row r="95" spans="1:3" x14ac:dyDescent="0.3">
      <c r="A95" s="5">
        <v>37</v>
      </c>
      <c r="B95" s="4">
        <v>3</v>
      </c>
      <c r="C95" s="4" t="str">
        <f t="shared" si="1"/>
        <v xml:space="preserve"> </v>
      </c>
    </row>
    <row r="96" spans="1:3" x14ac:dyDescent="0.3">
      <c r="A96" s="5">
        <v>32</v>
      </c>
      <c r="B96" s="4">
        <v>1</v>
      </c>
      <c r="C96" s="4" t="str">
        <f t="shared" si="1"/>
        <v xml:space="preserve"> </v>
      </c>
    </row>
    <row r="97" spans="1:3" x14ac:dyDescent="0.3">
      <c r="A97" s="5">
        <v>45</v>
      </c>
      <c r="B97" s="4">
        <v>4</v>
      </c>
      <c r="C97" s="4" t="str">
        <f t="shared" si="1"/>
        <v xml:space="preserve"> </v>
      </c>
    </row>
    <row r="98" spans="1:3" x14ac:dyDescent="0.3">
      <c r="A98" s="5">
        <v>28</v>
      </c>
      <c r="B98" s="4">
        <v>4</v>
      </c>
      <c r="C98" s="4" t="str">
        <f t="shared" si="1"/>
        <v xml:space="preserve"> </v>
      </c>
    </row>
    <row r="99" spans="1:3" x14ac:dyDescent="0.3">
      <c r="A99" s="5">
        <v>48</v>
      </c>
      <c r="B99" s="4">
        <v>1</v>
      </c>
      <c r="C99" s="4" t="str">
        <f t="shared" si="1"/>
        <v xml:space="preserve"> </v>
      </c>
    </row>
    <row r="100" spans="1:3" x14ac:dyDescent="0.3">
      <c r="A100" s="5">
        <v>37</v>
      </c>
      <c r="B100" s="4">
        <v>3</v>
      </c>
      <c r="C100" s="4" t="str">
        <f t="shared" si="1"/>
        <v xml:space="preserve"> </v>
      </c>
    </row>
    <row r="101" spans="1:3" x14ac:dyDescent="0.3">
      <c r="A101" s="5">
        <v>42</v>
      </c>
      <c r="B101" s="4">
        <v>2</v>
      </c>
      <c r="C101" s="4">
        <f t="shared" si="1"/>
        <v>42</v>
      </c>
    </row>
    <row r="102" spans="1:3" x14ac:dyDescent="0.3">
      <c r="A102" s="5">
        <v>38</v>
      </c>
      <c r="B102" s="4">
        <v>2</v>
      </c>
      <c r="C102" s="4">
        <f t="shared" si="1"/>
        <v>38</v>
      </c>
    </row>
    <row r="103" spans="1:3" x14ac:dyDescent="0.3">
      <c r="A103" s="5">
        <v>39</v>
      </c>
      <c r="B103" s="4">
        <v>4</v>
      </c>
      <c r="C103" s="4" t="str">
        <f t="shared" si="1"/>
        <v xml:space="preserve"> </v>
      </c>
    </row>
    <row r="104" spans="1:3" x14ac:dyDescent="0.3">
      <c r="A104" s="5">
        <v>30</v>
      </c>
      <c r="B104" s="4">
        <v>1</v>
      </c>
      <c r="C104" s="4" t="str">
        <f t="shared" si="1"/>
        <v xml:space="preserve"> </v>
      </c>
    </row>
    <row r="105" spans="1:3" x14ac:dyDescent="0.3">
      <c r="A105" s="5">
        <v>40</v>
      </c>
      <c r="B105" s="4">
        <v>1</v>
      </c>
      <c r="C105" s="4" t="str">
        <f t="shared" si="1"/>
        <v xml:space="preserve"> </v>
      </c>
    </row>
    <row r="106" spans="1:3" x14ac:dyDescent="0.3">
      <c r="A106" s="5">
        <v>46</v>
      </c>
      <c r="B106" s="4">
        <v>2</v>
      </c>
      <c r="C106" s="4">
        <f t="shared" si="1"/>
        <v>46</v>
      </c>
    </row>
    <row r="107" spans="1:3" x14ac:dyDescent="0.3">
      <c r="A107" s="5">
        <v>51</v>
      </c>
      <c r="B107" s="4">
        <v>1</v>
      </c>
      <c r="C107" s="4" t="str">
        <f t="shared" si="1"/>
        <v xml:space="preserve"> </v>
      </c>
    </row>
    <row r="108" spans="1:3" x14ac:dyDescent="0.3">
      <c r="A108" s="5">
        <v>25</v>
      </c>
      <c r="B108" s="4">
        <v>1</v>
      </c>
      <c r="C108" s="4" t="str">
        <f t="shared" si="1"/>
        <v xml:space="preserve"> </v>
      </c>
    </row>
    <row r="109" spans="1:3" x14ac:dyDescent="0.3">
      <c r="A109" s="5">
        <v>56</v>
      </c>
      <c r="B109" s="4">
        <v>1</v>
      </c>
      <c r="C109" s="4" t="str">
        <f t="shared" si="1"/>
        <v xml:space="preserve"> </v>
      </c>
    </row>
    <row r="110" spans="1:3" x14ac:dyDescent="0.3">
      <c r="A110" s="5">
        <v>39</v>
      </c>
      <c r="B110" s="4">
        <v>3</v>
      </c>
      <c r="C110" s="4" t="str">
        <f t="shared" si="1"/>
        <v xml:space="preserve"> </v>
      </c>
    </row>
    <row r="111" spans="1:3" x14ac:dyDescent="0.3">
      <c r="A111" s="5">
        <v>20</v>
      </c>
      <c r="B111" s="4">
        <v>2</v>
      </c>
      <c r="C111" s="4">
        <f t="shared" si="1"/>
        <v>20</v>
      </c>
    </row>
    <row r="112" spans="1:3" x14ac:dyDescent="0.3">
      <c r="A112" s="5">
        <v>39</v>
      </c>
      <c r="B112" s="4">
        <v>4</v>
      </c>
      <c r="C112" s="4" t="str">
        <f t="shared" si="1"/>
        <v xml:space="preserve"> </v>
      </c>
    </row>
    <row r="113" spans="1:3" x14ac:dyDescent="0.3">
      <c r="A113" s="5">
        <v>41</v>
      </c>
      <c r="B113" s="4">
        <v>3</v>
      </c>
      <c r="C113" s="4" t="str">
        <f t="shared" si="1"/>
        <v xml:space="preserve"> </v>
      </c>
    </row>
    <row r="114" spans="1:3" x14ac:dyDescent="0.3">
      <c r="A114" s="5">
        <v>45</v>
      </c>
      <c r="B114" s="4">
        <v>1</v>
      </c>
      <c r="C114" s="4" t="str">
        <f t="shared" si="1"/>
        <v xml:space="preserve"> </v>
      </c>
    </row>
    <row r="115" spans="1:3" x14ac:dyDescent="0.3">
      <c r="A115" s="5">
        <v>42</v>
      </c>
      <c r="B115" s="4">
        <v>1</v>
      </c>
      <c r="C115" s="4" t="str">
        <f t="shared" si="1"/>
        <v xml:space="preserve"> </v>
      </c>
    </row>
    <row r="116" spans="1:3" x14ac:dyDescent="0.3">
      <c r="A116" s="5">
        <v>37</v>
      </c>
      <c r="B116" s="4">
        <v>3</v>
      </c>
      <c r="C116" s="4" t="str">
        <f t="shared" si="1"/>
        <v xml:space="preserve"> </v>
      </c>
    </row>
    <row r="117" spans="1:3" x14ac:dyDescent="0.3">
      <c r="A117" s="5">
        <v>43</v>
      </c>
      <c r="B117" s="4">
        <v>1</v>
      </c>
      <c r="C117" s="4" t="str">
        <f t="shared" si="1"/>
        <v xml:space="preserve"> </v>
      </c>
    </row>
    <row r="118" spans="1:3" x14ac:dyDescent="0.3">
      <c r="A118" s="5">
        <v>58</v>
      </c>
      <c r="B118" s="4">
        <v>2</v>
      </c>
      <c r="C118" s="4">
        <f t="shared" si="1"/>
        <v>58</v>
      </c>
    </row>
    <row r="119" spans="1:3" x14ac:dyDescent="0.3">
      <c r="A119" s="5">
        <v>68</v>
      </c>
      <c r="B119" s="4">
        <v>2</v>
      </c>
      <c r="C119" s="4">
        <f t="shared" si="1"/>
        <v>68</v>
      </c>
    </row>
    <row r="120" spans="1:3" x14ac:dyDescent="0.3">
      <c r="A120" s="5">
        <v>43</v>
      </c>
      <c r="B120" s="4">
        <v>2</v>
      </c>
      <c r="C120" s="4">
        <f t="shared" si="1"/>
        <v>43</v>
      </c>
    </row>
    <row r="121" spans="1:3" x14ac:dyDescent="0.3">
      <c r="A121" s="5">
        <v>41</v>
      </c>
      <c r="B121" s="4">
        <v>2</v>
      </c>
      <c r="C121" s="4">
        <f t="shared" si="1"/>
        <v>41</v>
      </c>
    </row>
    <row r="122" spans="1:3" x14ac:dyDescent="0.3">
      <c r="A122" s="5">
        <v>47</v>
      </c>
      <c r="B122" s="4">
        <v>1</v>
      </c>
      <c r="C122" s="4" t="str">
        <f t="shared" si="1"/>
        <v xml:space="preserve"> </v>
      </c>
    </row>
    <row r="123" spans="1:3" x14ac:dyDescent="0.3">
      <c r="A123" s="5">
        <v>52</v>
      </c>
      <c r="B123" s="4">
        <v>3</v>
      </c>
      <c r="C123" s="4" t="str">
        <f t="shared" si="1"/>
        <v xml:space="preserve"> </v>
      </c>
    </row>
    <row r="124" spans="1:3" x14ac:dyDescent="0.3">
      <c r="A124" s="5">
        <v>33</v>
      </c>
      <c r="B124" s="4">
        <v>3</v>
      </c>
      <c r="C124" s="4" t="str">
        <f t="shared" si="1"/>
        <v xml:space="preserve"> </v>
      </c>
    </row>
    <row r="125" spans="1:3" x14ac:dyDescent="0.3">
      <c r="A125" s="5">
        <v>59</v>
      </c>
      <c r="B125" s="4">
        <v>3</v>
      </c>
      <c r="C125" s="4" t="str">
        <f t="shared" si="1"/>
        <v xml:space="preserve"> </v>
      </c>
    </row>
    <row r="126" spans="1:3" x14ac:dyDescent="0.3">
      <c r="A126" s="5">
        <v>40</v>
      </c>
      <c r="B126" s="4">
        <v>1</v>
      </c>
      <c r="C126" s="4" t="str">
        <f t="shared" si="1"/>
        <v xml:space="preserve"> </v>
      </c>
    </row>
    <row r="127" spans="1:3" x14ac:dyDescent="0.3">
      <c r="A127" s="5">
        <v>29</v>
      </c>
      <c r="B127" s="4">
        <v>2</v>
      </c>
      <c r="C127" s="4">
        <f t="shared" si="1"/>
        <v>29</v>
      </c>
    </row>
    <row r="128" spans="1:3" x14ac:dyDescent="0.3">
      <c r="A128" s="5">
        <v>31</v>
      </c>
      <c r="B128" s="4">
        <v>4</v>
      </c>
      <c r="C128" s="4" t="str">
        <f t="shared" si="1"/>
        <v xml:space="preserve"> </v>
      </c>
    </row>
    <row r="129" spans="1:3" x14ac:dyDescent="0.3">
      <c r="A129" s="5">
        <v>42</v>
      </c>
      <c r="B129" s="4">
        <v>2</v>
      </c>
      <c r="C129" s="4">
        <f t="shared" si="1"/>
        <v>42</v>
      </c>
    </row>
    <row r="130" spans="1:3" x14ac:dyDescent="0.3">
      <c r="A130" s="5">
        <v>48</v>
      </c>
      <c r="B130" s="4">
        <v>2</v>
      </c>
      <c r="C130" s="4">
        <f t="shared" si="1"/>
        <v>48</v>
      </c>
    </row>
    <row r="131" spans="1:3" x14ac:dyDescent="0.3">
      <c r="A131" s="5">
        <v>51</v>
      </c>
      <c r="B131" s="4">
        <v>2</v>
      </c>
      <c r="C131" s="4">
        <f t="shared" ref="C131:C194" si="2">IF(B131=2,A131," ")</f>
        <v>51</v>
      </c>
    </row>
    <row r="132" spans="1:3" x14ac:dyDescent="0.3">
      <c r="A132" s="5">
        <v>37</v>
      </c>
      <c r="B132" s="4">
        <v>3</v>
      </c>
      <c r="C132" s="4" t="str">
        <f t="shared" si="2"/>
        <v xml:space="preserve"> </v>
      </c>
    </row>
    <row r="133" spans="1:3" x14ac:dyDescent="0.3">
      <c r="A133" s="5">
        <v>43</v>
      </c>
      <c r="B133" s="4">
        <v>2</v>
      </c>
      <c r="C133" s="4">
        <f t="shared" si="2"/>
        <v>43</v>
      </c>
    </row>
    <row r="134" spans="1:3" x14ac:dyDescent="0.3">
      <c r="A134" s="5">
        <v>24</v>
      </c>
      <c r="B134" s="4">
        <v>4</v>
      </c>
      <c r="C134" s="4" t="str">
        <f t="shared" si="2"/>
        <v xml:space="preserve"> </v>
      </c>
    </row>
    <row r="135" spans="1:3" x14ac:dyDescent="0.3">
      <c r="A135" s="5">
        <v>41</v>
      </c>
      <c r="B135" s="4">
        <v>3</v>
      </c>
      <c r="C135" s="4" t="str">
        <f t="shared" si="2"/>
        <v xml:space="preserve"> </v>
      </c>
    </row>
    <row r="136" spans="1:3" x14ac:dyDescent="0.3">
      <c r="A136" s="5">
        <v>46</v>
      </c>
      <c r="B136" s="4">
        <v>4</v>
      </c>
      <c r="C136" s="4" t="str">
        <f t="shared" si="2"/>
        <v xml:space="preserve"> </v>
      </c>
    </row>
    <row r="137" spans="1:3" x14ac:dyDescent="0.3">
      <c r="A137" s="5">
        <v>40</v>
      </c>
      <c r="B137" s="4">
        <v>4</v>
      </c>
      <c r="C137" s="4" t="str">
        <f t="shared" si="2"/>
        <v xml:space="preserve"> </v>
      </c>
    </row>
    <row r="138" spans="1:3" x14ac:dyDescent="0.3">
      <c r="A138" s="5">
        <v>38</v>
      </c>
      <c r="B138" s="4">
        <v>4</v>
      </c>
      <c r="C138" s="4" t="str">
        <f t="shared" si="2"/>
        <v xml:space="preserve"> </v>
      </c>
    </row>
    <row r="139" spans="1:3" x14ac:dyDescent="0.3">
      <c r="A139" s="5">
        <v>48</v>
      </c>
      <c r="B139" s="4">
        <v>4</v>
      </c>
      <c r="C139" s="4" t="str">
        <f t="shared" si="2"/>
        <v xml:space="preserve"> </v>
      </c>
    </row>
    <row r="140" spans="1:3" x14ac:dyDescent="0.3">
      <c r="A140" s="5">
        <v>43</v>
      </c>
      <c r="B140" s="4">
        <v>4</v>
      </c>
      <c r="C140" s="4" t="str">
        <f t="shared" si="2"/>
        <v xml:space="preserve"> </v>
      </c>
    </row>
    <row r="141" spans="1:3" x14ac:dyDescent="0.3">
      <c r="A141" s="5">
        <v>42</v>
      </c>
      <c r="B141" s="4">
        <v>4</v>
      </c>
      <c r="C141" s="4" t="str">
        <f t="shared" si="2"/>
        <v xml:space="preserve"> </v>
      </c>
    </row>
    <row r="142" spans="1:3" x14ac:dyDescent="0.3">
      <c r="A142" s="5">
        <v>45</v>
      </c>
      <c r="B142" s="4">
        <v>1</v>
      </c>
      <c r="C142" s="4" t="str">
        <f t="shared" si="2"/>
        <v xml:space="preserve"> </v>
      </c>
    </row>
    <row r="143" spans="1:3" x14ac:dyDescent="0.3">
      <c r="A143" s="5">
        <v>46</v>
      </c>
      <c r="B143" s="4">
        <v>4</v>
      </c>
      <c r="C143" s="4" t="str">
        <f t="shared" si="2"/>
        <v xml:space="preserve"> </v>
      </c>
    </row>
    <row r="144" spans="1:3" x14ac:dyDescent="0.3">
      <c r="A144" s="5">
        <v>37</v>
      </c>
      <c r="B144" s="4">
        <v>1</v>
      </c>
      <c r="C144" s="4" t="str">
        <f t="shared" si="2"/>
        <v xml:space="preserve"> </v>
      </c>
    </row>
    <row r="145" spans="1:3" x14ac:dyDescent="0.3">
      <c r="A145" s="5">
        <v>29</v>
      </c>
      <c r="B145" s="4">
        <v>2</v>
      </c>
      <c r="C145" s="4">
        <f t="shared" si="2"/>
        <v>29</v>
      </c>
    </row>
    <row r="146" spans="1:3" x14ac:dyDescent="0.3">
      <c r="A146" s="5">
        <v>36</v>
      </c>
      <c r="B146" s="4">
        <v>4</v>
      </c>
      <c r="C146" s="4" t="str">
        <f t="shared" si="2"/>
        <v xml:space="preserve"> </v>
      </c>
    </row>
    <row r="147" spans="1:3" x14ac:dyDescent="0.3">
      <c r="A147" s="5">
        <v>32</v>
      </c>
      <c r="B147" s="4">
        <v>3</v>
      </c>
      <c r="C147" s="4" t="str">
        <f t="shared" si="2"/>
        <v xml:space="preserve"> </v>
      </c>
    </row>
    <row r="148" spans="1:3" x14ac:dyDescent="0.3">
      <c r="A148" s="5">
        <v>46</v>
      </c>
      <c r="B148" s="4">
        <v>2</v>
      </c>
      <c r="C148" s="4">
        <f t="shared" si="2"/>
        <v>46</v>
      </c>
    </row>
    <row r="149" spans="1:3" x14ac:dyDescent="0.3">
      <c r="A149" s="5">
        <v>38</v>
      </c>
      <c r="B149" s="4">
        <v>1</v>
      </c>
      <c r="C149" s="4" t="str">
        <f t="shared" si="2"/>
        <v xml:space="preserve"> </v>
      </c>
    </row>
    <row r="150" spans="1:3" x14ac:dyDescent="0.3">
      <c r="A150" s="5">
        <v>35</v>
      </c>
      <c r="B150" s="4">
        <v>1</v>
      </c>
      <c r="C150" s="4" t="str">
        <f t="shared" si="2"/>
        <v xml:space="preserve"> </v>
      </c>
    </row>
    <row r="151" spans="1:3" x14ac:dyDescent="0.3">
      <c r="A151" s="5">
        <v>73</v>
      </c>
      <c r="B151" s="4">
        <v>2</v>
      </c>
      <c r="C151" s="4">
        <f t="shared" si="2"/>
        <v>73</v>
      </c>
    </row>
    <row r="152" spans="1:3" x14ac:dyDescent="0.3">
      <c r="A152" s="5">
        <v>42</v>
      </c>
      <c r="B152" s="4">
        <v>2</v>
      </c>
      <c r="C152" s="4">
        <f t="shared" si="2"/>
        <v>42</v>
      </c>
    </row>
    <row r="153" spans="1:3" x14ac:dyDescent="0.3">
      <c r="A153" s="5">
        <v>29</v>
      </c>
      <c r="B153" s="4">
        <v>1</v>
      </c>
      <c r="C153" s="4" t="str">
        <f t="shared" si="2"/>
        <v xml:space="preserve"> </v>
      </c>
    </row>
    <row r="154" spans="1:3" x14ac:dyDescent="0.3">
      <c r="A154" s="5">
        <v>35</v>
      </c>
      <c r="B154" s="4">
        <v>1</v>
      </c>
      <c r="C154" s="4" t="str">
        <f t="shared" si="2"/>
        <v xml:space="preserve"> </v>
      </c>
    </row>
    <row r="155" spans="1:3" x14ac:dyDescent="0.3">
      <c r="A155" s="5">
        <v>29</v>
      </c>
      <c r="B155" s="4">
        <v>1</v>
      </c>
      <c r="C155" s="4" t="str">
        <f t="shared" si="2"/>
        <v xml:space="preserve"> </v>
      </c>
    </row>
    <row r="156" spans="1:3" x14ac:dyDescent="0.3">
      <c r="A156" s="5">
        <v>45</v>
      </c>
      <c r="B156" s="4">
        <v>3</v>
      </c>
      <c r="C156" s="4" t="str">
        <f t="shared" si="2"/>
        <v xml:space="preserve"> </v>
      </c>
    </row>
    <row r="157" spans="1:3" x14ac:dyDescent="0.3">
      <c r="A157" s="5">
        <v>20</v>
      </c>
      <c r="B157" s="4">
        <v>2</v>
      </c>
      <c r="C157" s="4">
        <f t="shared" si="2"/>
        <v>20</v>
      </c>
    </row>
    <row r="158" spans="1:3" x14ac:dyDescent="0.3">
      <c r="A158" s="5">
        <v>48</v>
      </c>
      <c r="B158" s="4">
        <v>1</v>
      </c>
      <c r="C158" s="4" t="str">
        <f t="shared" si="2"/>
        <v xml:space="preserve"> </v>
      </c>
    </row>
    <row r="159" spans="1:3" x14ac:dyDescent="0.3">
      <c r="A159" s="5">
        <v>51</v>
      </c>
      <c r="B159" s="4">
        <v>1</v>
      </c>
      <c r="C159" s="4" t="str">
        <f t="shared" si="2"/>
        <v xml:space="preserve"> </v>
      </c>
    </row>
    <row r="160" spans="1:3" x14ac:dyDescent="0.3">
      <c r="A160" s="5">
        <v>30</v>
      </c>
      <c r="B160" s="4">
        <v>1</v>
      </c>
      <c r="C160" s="4" t="str">
        <f t="shared" si="2"/>
        <v xml:space="preserve"> </v>
      </c>
    </row>
    <row r="161" spans="1:3" x14ac:dyDescent="0.3">
      <c r="A161" s="5">
        <v>53</v>
      </c>
      <c r="B161" s="4">
        <v>4</v>
      </c>
      <c r="C161" s="4" t="str">
        <f t="shared" si="2"/>
        <v xml:space="preserve"> </v>
      </c>
    </row>
    <row r="162" spans="1:3" x14ac:dyDescent="0.3">
      <c r="A162" s="5">
        <v>50</v>
      </c>
      <c r="B162" s="4">
        <v>1</v>
      </c>
      <c r="C162" s="4" t="str">
        <f t="shared" si="2"/>
        <v xml:space="preserve"> </v>
      </c>
    </row>
    <row r="163" spans="1:3" x14ac:dyDescent="0.3">
      <c r="A163" s="5">
        <v>49</v>
      </c>
      <c r="B163" s="4">
        <v>4</v>
      </c>
      <c r="C163" s="4" t="str">
        <f t="shared" si="2"/>
        <v xml:space="preserve"> </v>
      </c>
    </row>
    <row r="164" spans="1:3" x14ac:dyDescent="0.3">
      <c r="A164" s="5">
        <v>21</v>
      </c>
      <c r="B164" s="4">
        <v>4</v>
      </c>
      <c r="C164" s="4" t="str">
        <f t="shared" si="2"/>
        <v xml:space="preserve"> </v>
      </c>
    </row>
    <row r="165" spans="1:3" x14ac:dyDescent="0.3">
      <c r="A165" s="5">
        <v>28</v>
      </c>
      <c r="B165" s="4">
        <v>1</v>
      </c>
      <c r="C165" s="4" t="str">
        <f t="shared" si="2"/>
        <v xml:space="preserve"> </v>
      </c>
    </row>
    <row r="166" spans="1:3" x14ac:dyDescent="0.3">
      <c r="A166" s="5">
        <v>44</v>
      </c>
      <c r="B166" s="4">
        <v>3</v>
      </c>
      <c r="C166" s="4" t="str">
        <f t="shared" si="2"/>
        <v xml:space="preserve"> </v>
      </c>
    </row>
    <row r="167" spans="1:3" x14ac:dyDescent="0.3">
      <c r="A167" s="5">
        <v>25</v>
      </c>
      <c r="B167" s="4">
        <v>2</v>
      </c>
      <c r="C167" s="4">
        <f t="shared" si="2"/>
        <v>25</v>
      </c>
    </row>
    <row r="168" spans="1:3" x14ac:dyDescent="0.3">
      <c r="A168" s="5">
        <v>14</v>
      </c>
      <c r="B168" s="4">
        <v>2</v>
      </c>
      <c r="C168" s="4">
        <f t="shared" si="2"/>
        <v>14</v>
      </c>
    </row>
    <row r="169" spans="1:3" x14ac:dyDescent="0.3">
      <c r="A169" s="5">
        <v>33</v>
      </c>
      <c r="B169" s="4">
        <v>2</v>
      </c>
      <c r="C169" s="4">
        <f t="shared" si="2"/>
        <v>33</v>
      </c>
    </row>
    <row r="170" spans="1:3" x14ac:dyDescent="0.3">
      <c r="A170" s="5">
        <v>34</v>
      </c>
      <c r="B170" s="4">
        <v>1</v>
      </c>
      <c r="C170" s="4" t="str">
        <f t="shared" si="2"/>
        <v xml:space="preserve"> </v>
      </c>
    </row>
    <row r="171" spans="1:3" x14ac:dyDescent="0.3">
      <c r="A171" s="5">
        <v>47</v>
      </c>
      <c r="B171" s="4">
        <v>2</v>
      </c>
      <c r="C171" s="4">
        <f t="shared" si="2"/>
        <v>47</v>
      </c>
    </row>
    <row r="172" spans="1:3" x14ac:dyDescent="0.3">
      <c r="A172" s="5">
        <v>21</v>
      </c>
      <c r="B172" s="4">
        <v>4</v>
      </c>
      <c r="C172" s="4" t="str">
        <f t="shared" si="2"/>
        <v xml:space="preserve"> </v>
      </c>
    </row>
    <row r="173" spans="1:3" x14ac:dyDescent="0.3">
      <c r="A173" s="5">
        <v>27</v>
      </c>
      <c r="B173" s="4">
        <v>4</v>
      </c>
      <c r="C173" s="4" t="str">
        <f t="shared" si="2"/>
        <v xml:space="preserve"> </v>
      </c>
    </row>
    <row r="174" spans="1:3" x14ac:dyDescent="0.3">
      <c r="A174" s="5">
        <v>63</v>
      </c>
      <c r="B174" s="4">
        <v>3</v>
      </c>
      <c r="C174" s="4" t="str">
        <f t="shared" si="2"/>
        <v xml:space="preserve"> </v>
      </c>
    </row>
    <row r="175" spans="1:3" x14ac:dyDescent="0.3">
      <c r="A175" s="5">
        <v>31</v>
      </c>
      <c r="B175" s="4">
        <v>2</v>
      </c>
      <c r="C175" s="4">
        <f t="shared" si="2"/>
        <v>31</v>
      </c>
    </row>
    <row r="176" spans="1:3" x14ac:dyDescent="0.3">
      <c r="A176" s="5">
        <v>32</v>
      </c>
      <c r="B176" s="4">
        <v>2</v>
      </c>
      <c r="C176" s="4">
        <f t="shared" si="2"/>
        <v>32</v>
      </c>
    </row>
    <row r="177" spans="1:3" x14ac:dyDescent="0.3">
      <c r="A177" s="5">
        <v>39</v>
      </c>
      <c r="B177" s="4">
        <v>1</v>
      </c>
      <c r="C177" s="4" t="str">
        <f t="shared" si="2"/>
        <v xml:space="preserve"> </v>
      </c>
    </row>
    <row r="178" spans="1:3" x14ac:dyDescent="0.3">
      <c r="A178" s="5">
        <v>37</v>
      </c>
      <c r="B178" s="4">
        <v>4</v>
      </c>
      <c r="C178" s="4" t="str">
        <f t="shared" si="2"/>
        <v xml:space="preserve"> </v>
      </c>
    </row>
    <row r="179" spans="1:3" x14ac:dyDescent="0.3">
      <c r="A179" s="5">
        <v>25</v>
      </c>
      <c r="B179" s="4">
        <v>1</v>
      </c>
      <c r="C179" s="4" t="str">
        <f t="shared" si="2"/>
        <v xml:space="preserve"> </v>
      </c>
    </row>
    <row r="180" spans="1:3" x14ac:dyDescent="0.3">
      <c r="A180" s="5">
        <v>37</v>
      </c>
      <c r="B180" s="4">
        <v>1</v>
      </c>
      <c r="C180" s="4" t="str">
        <f t="shared" si="2"/>
        <v xml:space="preserve"> </v>
      </c>
    </row>
    <row r="181" spans="1:3" x14ac:dyDescent="0.3">
      <c r="A181" s="5">
        <v>40</v>
      </c>
      <c r="B181" s="4">
        <v>2</v>
      </c>
      <c r="C181" s="4">
        <f t="shared" si="2"/>
        <v>40</v>
      </c>
    </row>
    <row r="182" spans="1:3" x14ac:dyDescent="0.3">
      <c r="A182" s="5">
        <v>38</v>
      </c>
      <c r="B182" s="4">
        <v>2</v>
      </c>
      <c r="C182" s="4">
        <f t="shared" si="2"/>
        <v>38</v>
      </c>
    </row>
    <row r="183" spans="1:3" x14ac:dyDescent="0.3">
      <c r="A183" s="5">
        <v>49</v>
      </c>
      <c r="B183" s="4">
        <v>1</v>
      </c>
      <c r="C183" s="4" t="str">
        <f t="shared" si="2"/>
        <v xml:space="preserve"> </v>
      </c>
    </row>
    <row r="184" spans="1:3" x14ac:dyDescent="0.3">
      <c r="A184" s="5">
        <v>37</v>
      </c>
      <c r="B184" s="4">
        <v>2</v>
      </c>
      <c r="C184" s="4">
        <f t="shared" si="2"/>
        <v>37</v>
      </c>
    </row>
    <row r="185" spans="1:3" x14ac:dyDescent="0.3">
      <c r="A185" s="5">
        <v>38</v>
      </c>
      <c r="B185" s="4">
        <v>2</v>
      </c>
      <c r="C185" s="4">
        <f t="shared" si="2"/>
        <v>38</v>
      </c>
    </row>
    <row r="186" spans="1:3" x14ac:dyDescent="0.3">
      <c r="A186" s="5">
        <v>36</v>
      </c>
      <c r="B186" s="4">
        <v>4</v>
      </c>
      <c r="C186" s="4" t="str">
        <f t="shared" si="2"/>
        <v xml:space="preserve"> </v>
      </c>
    </row>
    <row r="187" spans="1:3" x14ac:dyDescent="0.3">
      <c r="A187" s="5">
        <v>47</v>
      </c>
      <c r="B187" s="4">
        <v>3</v>
      </c>
      <c r="C187" s="4" t="str">
        <f t="shared" si="2"/>
        <v xml:space="preserve"> </v>
      </c>
    </row>
    <row r="188" spans="1:3" x14ac:dyDescent="0.3">
      <c r="A188" s="5">
        <v>22</v>
      </c>
      <c r="B188" s="4">
        <v>4</v>
      </c>
      <c r="C188" s="4" t="str">
        <f t="shared" si="2"/>
        <v xml:space="preserve"> </v>
      </c>
    </row>
    <row r="189" spans="1:3" x14ac:dyDescent="0.3">
      <c r="A189" s="5">
        <v>43</v>
      </c>
      <c r="B189" s="4">
        <v>4</v>
      </c>
      <c r="C189" s="4" t="str">
        <f t="shared" si="2"/>
        <v xml:space="preserve"> </v>
      </c>
    </row>
    <row r="190" spans="1:3" x14ac:dyDescent="0.3">
      <c r="A190" s="5">
        <v>37</v>
      </c>
      <c r="B190" s="4">
        <v>3</v>
      </c>
      <c r="C190" s="4" t="str">
        <f t="shared" si="2"/>
        <v xml:space="preserve"> </v>
      </c>
    </row>
    <row r="191" spans="1:3" x14ac:dyDescent="0.3">
      <c r="A191" s="5">
        <v>47</v>
      </c>
      <c r="B191" s="4">
        <v>3</v>
      </c>
      <c r="C191" s="4" t="str">
        <f t="shared" si="2"/>
        <v xml:space="preserve"> </v>
      </c>
    </row>
    <row r="192" spans="1:3" x14ac:dyDescent="0.3">
      <c r="A192" s="5">
        <v>51</v>
      </c>
      <c r="B192" s="4">
        <v>4</v>
      </c>
      <c r="C192" s="4" t="str">
        <f t="shared" si="2"/>
        <v xml:space="preserve"> </v>
      </c>
    </row>
    <row r="193" spans="1:3" x14ac:dyDescent="0.3">
      <c r="A193" s="5">
        <v>44</v>
      </c>
      <c r="B193" s="4">
        <v>1</v>
      </c>
      <c r="C193" s="4" t="str">
        <f t="shared" si="2"/>
        <v xml:space="preserve"> </v>
      </c>
    </row>
    <row r="194" spans="1:3" x14ac:dyDescent="0.3">
      <c r="A194" s="5">
        <v>29</v>
      </c>
      <c r="B194" s="4">
        <v>3</v>
      </c>
      <c r="C194" s="4" t="str">
        <f t="shared" si="2"/>
        <v xml:space="preserve"> </v>
      </c>
    </row>
    <row r="195" spans="1:3" x14ac:dyDescent="0.3">
      <c r="A195" s="5">
        <v>37</v>
      </c>
      <c r="B195" s="4">
        <v>2</v>
      </c>
      <c r="C195" s="4">
        <f t="shared" ref="C195:C251" si="3">IF(B195=2,A195," ")</f>
        <v>37</v>
      </c>
    </row>
    <row r="196" spans="1:3" x14ac:dyDescent="0.3">
      <c r="A196" s="5">
        <v>38</v>
      </c>
      <c r="B196" s="4">
        <v>3</v>
      </c>
      <c r="C196" s="4" t="str">
        <f t="shared" si="3"/>
        <v xml:space="preserve"> </v>
      </c>
    </row>
    <row r="197" spans="1:3" x14ac:dyDescent="0.3">
      <c r="A197" s="5">
        <v>32</v>
      </c>
      <c r="B197" s="4">
        <v>3</v>
      </c>
      <c r="C197" s="4" t="str">
        <f t="shared" si="3"/>
        <v xml:space="preserve"> </v>
      </c>
    </row>
    <row r="198" spans="1:3" x14ac:dyDescent="0.3">
      <c r="A198" s="5">
        <v>43</v>
      </c>
      <c r="B198" s="4">
        <v>1</v>
      </c>
      <c r="C198" s="4" t="str">
        <f t="shared" si="3"/>
        <v xml:space="preserve"> </v>
      </c>
    </row>
    <row r="199" spans="1:3" x14ac:dyDescent="0.3">
      <c r="A199" s="5">
        <v>47</v>
      </c>
      <c r="B199" s="4">
        <v>1</v>
      </c>
      <c r="C199" s="4" t="str">
        <f t="shared" si="3"/>
        <v xml:space="preserve"> </v>
      </c>
    </row>
    <row r="200" spans="1:3" x14ac:dyDescent="0.3">
      <c r="A200" s="5">
        <v>44</v>
      </c>
      <c r="B200" s="4">
        <v>4</v>
      </c>
      <c r="C200" s="4" t="str">
        <f t="shared" si="3"/>
        <v xml:space="preserve"> </v>
      </c>
    </row>
    <row r="201" spans="1:3" x14ac:dyDescent="0.3">
      <c r="A201" s="5">
        <v>41</v>
      </c>
      <c r="B201" s="4">
        <v>4</v>
      </c>
      <c r="C201" s="4" t="str">
        <f t="shared" si="3"/>
        <v xml:space="preserve"> </v>
      </c>
    </row>
    <row r="202" spans="1:3" x14ac:dyDescent="0.3">
      <c r="A202" s="5">
        <v>18</v>
      </c>
      <c r="B202" s="4">
        <v>4</v>
      </c>
      <c r="C202" s="4" t="str">
        <f t="shared" si="3"/>
        <v xml:space="preserve"> </v>
      </c>
    </row>
    <row r="203" spans="1:3" x14ac:dyDescent="0.3">
      <c r="A203" s="5">
        <v>40</v>
      </c>
      <c r="B203" s="4">
        <v>4</v>
      </c>
      <c r="C203" s="4" t="str">
        <f t="shared" si="3"/>
        <v xml:space="preserve"> </v>
      </c>
    </row>
    <row r="204" spans="1:3" x14ac:dyDescent="0.3">
      <c r="A204" s="5">
        <v>26</v>
      </c>
      <c r="B204" s="4">
        <v>1</v>
      </c>
      <c r="C204" s="4" t="str">
        <f t="shared" si="3"/>
        <v xml:space="preserve"> </v>
      </c>
    </row>
    <row r="205" spans="1:3" x14ac:dyDescent="0.3">
      <c r="A205" s="5">
        <v>63</v>
      </c>
      <c r="B205" s="4">
        <v>3</v>
      </c>
      <c r="C205" s="4" t="str">
        <f t="shared" si="3"/>
        <v xml:space="preserve"> </v>
      </c>
    </row>
    <row r="206" spans="1:3" x14ac:dyDescent="0.3">
      <c r="A206" s="5">
        <v>46</v>
      </c>
      <c r="B206" s="4">
        <v>4</v>
      </c>
      <c r="C206" s="4" t="str">
        <f t="shared" si="3"/>
        <v xml:space="preserve"> </v>
      </c>
    </row>
    <row r="207" spans="1:3" x14ac:dyDescent="0.3">
      <c r="A207" s="5">
        <v>57</v>
      </c>
      <c r="B207" s="4">
        <v>4</v>
      </c>
      <c r="C207" s="4" t="str">
        <f t="shared" si="3"/>
        <v xml:space="preserve"> </v>
      </c>
    </row>
    <row r="208" spans="1:3" x14ac:dyDescent="0.3">
      <c r="A208" s="5">
        <v>43</v>
      </c>
      <c r="B208" s="4">
        <v>3</v>
      </c>
      <c r="C208" s="4" t="str">
        <f t="shared" si="3"/>
        <v xml:space="preserve"> </v>
      </c>
    </row>
    <row r="209" spans="1:3" x14ac:dyDescent="0.3">
      <c r="A209" s="5">
        <v>42</v>
      </c>
      <c r="B209" s="4">
        <v>1</v>
      </c>
      <c r="C209" s="4" t="str">
        <f t="shared" si="3"/>
        <v xml:space="preserve"> </v>
      </c>
    </row>
    <row r="210" spans="1:3" x14ac:dyDescent="0.3">
      <c r="A210" s="5">
        <v>50</v>
      </c>
      <c r="B210" s="4">
        <v>4</v>
      </c>
      <c r="C210" s="4" t="str">
        <f t="shared" si="3"/>
        <v xml:space="preserve"> </v>
      </c>
    </row>
    <row r="211" spans="1:3" x14ac:dyDescent="0.3">
      <c r="A211" s="5">
        <v>64</v>
      </c>
      <c r="B211" s="4">
        <v>1</v>
      </c>
      <c r="C211" s="4" t="str">
        <f t="shared" si="3"/>
        <v xml:space="preserve"> </v>
      </c>
    </row>
    <row r="212" spans="1:3" x14ac:dyDescent="0.3">
      <c r="A212" s="5">
        <v>37</v>
      </c>
      <c r="B212" s="4">
        <v>2</v>
      </c>
      <c r="C212" s="4">
        <f t="shared" si="3"/>
        <v>37</v>
      </c>
    </row>
    <row r="213" spans="1:3" x14ac:dyDescent="0.3">
      <c r="A213" s="5">
        <v>38</v>
      </c>
      <c r="B213" s="4">
        <v>3</v>
      </c>
      <c r="C213" s="4" t="str">
        <f t="shared" si="3"/>
        <v xml:space="preserve"> </v>
      </c>
    </row>
    <row r="214" spans="1:3" x14ac:dyDescent="0.3">
      <c r="A214" s="5">
        <v>27</v>
      </c>
      <c r="B214" s="4">
        <v>2</v>
      </c>
      <c r="C214" s="4">
        <f t="shared" si="3"/>
        <v>27</v>
      </c>
    </row>
    <row r="215" spans="1:3" x14ac:dyDescent="0.3">
      <c r="A215" s="5">
        <v>37</v>
      </c>
      <c r="B215" s="4">
        <v>2</v>
      </c>
      <c r="C215" s="4">
        <f t="shared" si="3"/>
        <v>37</v>
      </c>
    </row>
    <row r="216" spans="1:3" x14ac:dyDescent="0.3">
      <c r="A216" s="5">
        <v>35</v>
      </c>
      <c r="B216" s="4">
        <v>1</v>
      </c>
      <c r="C216" s="4" t="str">
        <f t="shared" si="3"/>
        <v xml:space="preserve"> </v>
      </c>
    </row>
    <row r="217" spans="1:3" x14ac:dyDescent="0.3">
      <c r="A217" s="5">
        <v>34</v>
      </c>
      <c r="B217" s="4">
        <v>4</v>
      </c>
      <c r="C217" s="4" t="str">
        <f t="shared" si="3"/>
        <v xml:space="preserve"> </v>
      </c>
    </row>
    <row r="218" spans="1:3" x14ac:dyDescent="0.3">
      <c r="A218" s="5">
        <v>48</v>
      </c>
      <c r="B218" s="4">
        <v>4</v>
      </c>
      <c r="C218" s="4" t="str">
        <f t="shared" si="3"/>
        <v xml:space="preserve"> </v>
      </c>
    </row>
    <row r="219" spans="1:3" x14ac:dyDescent="0.3">
      <c r="A219" s="5">
        <v>47</v>
      </c>
      <c r="B219" s="4">
        <v>1</v>
      </c>
      <c r="C219" s="4" t="str">
        <f t="shared" si="3"/>
        <v xml:space="preserve"> </v>
      </c>
    </row>
    <row r="220" spans="1:3" x14ac:dyDescent="0.3">
      <c r="A220" s="5">
        <v>32</v>
      </c>
      <c r="B220" s="4">
        <v>3</v>
      </c>
      <c r="C220" s="4" t="str">
        <f t="shared" si="3"/>
        <v xml:space="preserve"> </v>
      </c>
    </row>
    <row r="221" spans="1:3" x14ac:dyDescent="0.3">
      <c r="A221" s="5">
        <v>43</v>
      </c>
      <c r="B221" s="4">
        <v>2</v>
      </c>
      <c r="C221" s="4">
        <f t="shared" si="3"/>
        <v>43</v>
      </c>
    </row>
    <row r="222" spans="1:3" x14ac:dyDescent="0.3">
      <c r="A222" s="5">
        <v>40</v>
      </c>
      <c r="B222" s="4">
        <v>3</v>
      </c>
      <c r="C222" s="4" t="str">
        <f t="shared" si="3"/>
        <v xml:space="preserve"> </v>
      </c>
    </row>
    <row r="223" spans="1:3" x14ac:dyDescent="0.3">
      <c r="A223" s="5">
        <v>59</v>
      </c>
      <c r="B223" s="4">
        <v>3</v>
      </c>
      <c r="C223" s="4" t="str">
        <f t="shared" si="3"/>
        <v xml:space="preserve"> </v>
      </c>
    </row>
    <row r="224" spans="1:3" x14ac:dyDescent="0.3">
      <c r="A224" s="5">
        <v>39</v>
      </c>
      <c r="B224" s="4">
        <v>2</v>
      </c>
      <c r="C224" s="4">
        <f t="shared" si="3"/>
        <v>39</v>
      </c>
    </row>
    <row r="225" spans="1:3" x14ac:dyDescent="0.3">
      <c r="A225" s="5">
        <v>31</v>
      </c>
      <c r="B225" s="4">
        <v>2</v>
      </c>
      <c r="C225" s="4">
        <f t="shared" si="3"/>
        <v>31</v>
      </c>
    </row>
    <row r="226" spans="1:3" x14ac:dyDescent="0.3">
      <c r="A226" s="5">
        <v>32</v>
      </c>
      <c r="B226" s="4">
        <v>4</v>
      </c>
      <c r="C226" s="4" t="str">
        <f t="shared" si="3"/>
        <v xml:space="preserve"> </v>
      </c>
    </row>
    <row r="227" spans="1:3" x14ac:dyDescent="0.3">
      <c r="A227" s="5">
        <v>34</v>
      </c>
      <c r="B227" s="4">
        <v>1</v>
      </c>
      <c r="C227" s="4" t="str">
        <f t="shared" si="3"/>
        <v xml:space="preserve"> </v>
      </c>
    </row>
    <row r="228" spans="1:3" x14ac:dyDescent="0.3">
      <c r="A228" s="5">
        <v>44</v>
      </c>
      <c r="B228" s="4">
        <v>2</v>
      </c>
      <c r="C228" s="4">
        <f t="shared" si="3"/>
        <v>44</v>
      </c>
    </row>
    <row r="229" spans="1:3" x14ac:dyDescent="0.3">
      <c r="A229" s="5">
        <v>48</v>
      </c>
      <c r="B229" s="4">
        <v>2</v>
      </c>
      <c r="C229" s="4">
        <f t="shared" si="3"/>
        <v>48</v>
      </c>
    </row>
    <row r="230" spans="1:3" x14ac:dyDescent="0.3">
      <c r="A230" s="5">
        <v>42</v>
      </c>
      <c r="B230" s="4">
        <v>4</v>
      </c>
      <c r="C230" s="4" t="str">
        <f t="shared" si="3"/>
        <v xml:space="preserve"> </v>
      </c>
    </row>
    <row r="231" spans="1:3" x14ac:dyDescent="0.3">
      <c r="A231" s="5">
        <v>31</v>
      </c>
      <c r="B231" s="4">
        <v>3</v>
      </c>
      <c r="C231" s="4" t="str">
        <f t="shared" si="3"/>
        <v xml:space="preserve"> </v>
      </c>
    </row>
    <row r="232" spans="1:3" x14ac:dyDescent="0.3">
      <c r="A232" s="5">
        <v>59</v>
      </c>
      <c r="B232" s="4">
        <v>1</v>
      </c>
      <c r="C232" s="4" t="str">
        <f t="shared" si="3"/>
        <v xml:space="preserve"> </v>
      </c>
    </row>
    <row r="233" spans="1:3" x14ac:dyDescent="0.3">
      <c r="A233" s="5">
        <v>44</v>
      </c>
      <c r="B233" s="4">
        <v>3</v>
      </c>
      <c r="C233" s="4" t="str">
        <f t="shared" si="3"/>
        <v xml:space="preserve"> </v>
      </c>
    </row>
    <row r="234" spans="1:3" x14ac:dyDescent="0.3">
      <c r="A234" s="5">
        <v>22</v>
      </c>
      <c r="B234" s="4">
        <v>4</v>
      </c>
      <c r="C234" s="4" t="str">
        <f t="shared" si="3"/>
        <v xml:space="preserve"> </v>
      </c>
    </row>
    <row r="235" spans="1:3" x14ac:dyDescent="0.3">
      <c r="A235" s="5">
        <v>52</v>
      </c>
      <c r="B235" s="4">
        <v>4</v>
      </c>
      <c r="C235" s="4" t="str">
        <f t="shared" si="3"/>
        <v xml:space="preserve"> </v>
      </c>
    </row>
    <row r="236" spans="1:3" x14ac:dyDescent="0.3">
      <c r="A236" s="5">
        <v>37</v>
      </c>
      <c r="B236" s="4">
        <v>4</v>
      </c>
      <c r="C236" s="4" t="str">
        <f t="shared" si="3"/>
        <v xml:space="preserve"> </v>
      </c>
    </row>
    <row r="237" spans="1:3" x14ac:dyDescent="0.3">
      <c r="A237" s="5">
        <v>61</v>
      </c>
      <c r="B237" s="4">
        <v>4</v>
      </c>
      <c r="C237" s="4" t="str">
        <f t="shared" si="3"/>
        <v xml:space="preserve"> </v>
      </c>
    </row>
    <row r="238" spans="1:3" x14ac:dyDescent="0.3">
      <c r="A238" s="5">
        <v>48</v>
      </c>
      <c r="B238" s="4">
        <v>4</v>
      </c>
      <c r="C238" s="4" t="str">
        <f t="shared" si="3"/>
        <v xml:space="preserve"> </v>
      </c>
    </row>
    <row r="239" spans="1:3" x14ac:dyDescent="0.3">
      <c r="A239" s="5">
        <v>36</v>
      </c>
      <c r="B239" s="4">
        <v>4</v>
      </c>
      <c r="C239" s="4" t="str">
        <f t="shared" si="3"/>
        <v xml:space="preserve"> </v>
      </c>
    </row>
    <row r="240" spans="1:3" x14ac:dyDescent="0.3">
      <c r="A240" s="5">
        <v>35</v>
      </c>
      <c r="B240" s="4">
        <v>1</v>
      </c>
      <c r="C240" s="4" t="str">
        <f t="shared" si="3"/>
        <v xml:space="preserve"> </v>
      </c>
    </row>
    <row r="241" spans="1:3" x14ac:dyDescent="0.3">
      <c r="A241" s="5">
        <v>36</v>
      </c>
      <c r="B241" s="4">
        <v>2</v>
      </c>
      <c r="C241" s="4">
        <f t="shared" si="3"/>
        <v>36</v>
      </c>
    </row>
    <row r="242" spans="1:3" x14ac:dyDescent="0.3">
      <c r="A242" s="5">
        <v>34</v>
      </c>
      <c r="B242" s="4">
        <v>2</v>
      </c>
      <c r="C242" s="4">
        <f t="shared" si="3"/>
        <v>34</v>
      </c>
    </row>
    <row r="243" spans="1:3" x14ac:dyDescent="0.3">
      <c r="A243" s="5">
        <v>34</v>
      </c>
      <c r="B243" s="4">
        <v>2</v>
      </c>
      <c r="C243" s="4">
        <f t="shared" si="3"/>
        <v>34</v>
      </c>
    </row>
    <row r="244" spans="1:3" x14ac:dyDescent="0.3">
      <c r="A244" s="5">
        <v>41</v>
      </c>
      <c r="B244" s="4">
        <v>4</v>
      </c>
      <c r="C244" s="4" t="str">
        <f t="shared" si="3"/>
        <v xml:space="preserve"> </v>
      </c>
    </row>
    <row r="245" spans="1:3" x14ac:dyDescent="0.3">
      <c r="A245" s="5">
        <v>35</v>
      </c>
      <c r="B245" s="4">
        <v>1</v>
      </c>
      <c r="C245" s="4" t="str">
        <f t="shared" si="3"/>
        <v xml:space="preserve"> </v>
      </c>
    </row>
    <row r="246" spans="1:3" x14ac:dyDescent="0.3">
      <c r="A246" s="5">
        <v>27</v>
      </c>
      <c r="B246" s="4">
        <v>2</v>
      </c>
      <c r="C246" s="4">
        <f t="shared" si="3"/>
        <v>27</v>
      </c>
    </row>
    <row r="247" spans="1:3" x14ac:dyDescent="0.3">
      <c r="A247" s="5">
        <v>32</v>
      </c>
      <c r="B247" s="4">
        <v>1</v>
      </c>
      <c r="C247" s="4" t="str">
        <f t="shared" si="3"/>
        <v xml:space="preserve"> </v>
      </c>
    </row>
    <row r="248" spans="1:3" x14ac:dyDescent="0.3">
      <c r="A248" s="5">
        <v>59</v>
      </c>
      <c r="B248" s="4">
        <v>2</v>
      </c>
      <c r="C248" s="4">
        <f t="shared" si="3"/>
        <v>59</v>
      </c>
    </row>
    <row r="249" spans="1:3" x14ac:dyDescent="0.3">
      <c r="A249" s="5">
        <v>39</v>
      </c>
      <c r="B249" s="4">
        <v>2</v>
      </c>
      <c r="C249" s="4">
        <f t="shared" si="3"/>
        <v>39</v>
      </c>
    </row>
    <row r="250" spans="1:3" x14ac:dyDescent="0.3">
      <c r="A250" s="5">
        <v>43</v>
      </c>
      <c r="B250" s="4">
        <v>3</v>
      </c>
      <c r="C250" s="4" t="str">
        <f t="shared" si="3"/>
        <v xml:space="preserve"> </v>
      </c>
    </row>
    <row r="251" spans="1:3" x14ac:dyDescent="0.3">
      <c r="A251" s="5">
        <v>36</v>
      </c>
      <c r="B251" s="4">
        <v>1</v>
      </c>
      <c r="C251" s="4" t="str">
        <f t="shared" si="3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4.4" x14ac:dyDescent="0.3"/>
  <cols>
    <col min="1" max="1" width="34.77734375" style="2" bestFit="1" customWidth="1"/>
    <col min="2" max="2" width="20.21875" style="2" bestFit="1" customWidth="1"/>
    <col min="3" max="3" width="14.6640625" style="2" customWidth="1"/>
    <col min="4" max="4" width="22.6640625" style="2" bestFit="1" customWidth="1"/>
    <col min="5" max="16384" width="8.88671875" style="2"/>
  </cols>
  <sheetData>
    <row r="1" spans="1:2" ht="19.2" thickBot="1" x14ac:dyDescent="0.5">
      <c r="A1" s="7" t="s">
        <v>11</v>
      </c>
      <c r="B1" s="8">
        <f>SQRT(B10)</f>
        <v>10.447881316324377</v>
      </c>
    </row>
    <row r="2" spans="1:2" ht="19.2" thickBot="1" x14ac:dyDescent="0.5">
      <c r="A2" s="7" t="s">
        <v>5</v>
      </c>
      <c r="B2" s="8">
        <f>AVERAGE(Sample!C2:C251)</f>
        <v>37.405797101449274</v>
      </c>
    </row>
    <row r="3" spans="1:2" ht="19.2" thickBot="1" x14ac:dyDescent="0.5">
      <c r="A3" s="7" t="s">
        <v>6</v>
      </c>
      <c r="B3" s="8">
        <f>COUNT(Sample!C2:C251)</f>
        <v>69</v>
      </c>
    </row>
    <row r="4" spans="1:2" ht="19.2" thickBot="1" x14ac:dyDescent="0.5">
      <c r="A4" s="7" t="s">
        <v>7</v>
      </c>
      <c r="B4" s="8">
        <v>0.95</v>
      </c>
    </row>
    <row r="5" spans="1:2" ht="19.2" thickBot="1" x14ac:dyDescent="0.5">
      <c r="A5" s="7" t="s">
        <v>8</v>
      </c>
      <c r="B5" s="10">
        <f>_xlfn.NORM.S.INV(0.975)</f>
        <v>1.9599639845400536</v>
      </c>
    </row>
    <row r="6" spans="1:2" ht="19.2" thickBot="1" x14ac:dyDescent="0.5">
      <c r="A6" s="9" t="s">
        <v>10</v>
      </c>
      <c r="B6" s="8">
        <f>B2-B5*B11</f>
        <v>34.940599274669253</v>
      </c>
    </row>
    <row r="7" spans="1:2" ht="19.2" thickBot="1" x14ac:dyDescent="0.5">
      <c r="A7" s="7" t="s">
        <v>9</v>
      </c>
      <c r="B7" s="8">
        <f>B2+B5*B11</f>
        <v>39.870994928229294</v>
      </c>
    </row>
    <row r="10" spans="1:2" x14ac:dyDescent="0.3">
      <c r="A10" s="11" t="s">
        <v>12</v>
      </c>
      <c r="B10" s="11">
        <f>_xlfn.VAR.P(Sample!A2:A251)</f>
        <v>109.158224</v>
      </c>
    </row>
    <row r="11" spans="1:2" x14ac:dyDescent="0.3">
      <c r="A11" s="11" t="s">
        <v>13</v>
      </c>
      <c r="B11" s="11">
        <f>B1/SQRT(B3)</f>
        <v>1.2577771052045794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0"/>
  <sheetViews>
    <sheetView workbookViewId="0">
      <selection activeCell="A2" sqref="A2"/>
    </sheetView>
  </sheetViews>
  <sheetFormatPr defaultRowHeight="14.4" x14ac:dyDescent="0.3"/>
  <cols>
    <col min="1" max="1" width="13.5546875" style="2" bestFit="1" customWidth="1"/>
    <col min="2" max="2" width="17.33203125" style="2" customWidth="1"/>
    <col min="3" max="3" width="16.5546875" style="2" bestFit="1" customWidth="1"/>
    <col min="4" max="6" width="8.88671875" style="2"/>
    <col min="7" max="7" width="26.33203125" style="2" bestFit="1" customWidth="1"/>
    <col min="8" max="8" width="8.88671875" style="2"/>
    <col min="9" max="9" width="59.33203125" style="2" bestFit="1" customWidth="1"/>
    <col min="10" max="16384" width="8.88671875" style="2"/>
  </cols>
  <sheetData>
    <row r="1" spans="1:9" ht="19.2" thickBot="1" x14ac:dyDescent="0.5">
      <c r="A1" s="7" t="s">
        <v>14</v>
      </c>
      <c r="B1" s="7" t="s">
        <v>15</v>
      </c>
      <c r="C1" s="7" t="s">
        <v>16</v>
      </c>
    </row>
    <row r="2" spans="1:9" ht="19.2" thickBot="1" x14ac:dyDescent="0.5">
      <c r="A2" s="6">
        <v>35</v>
      </c>
      <c r="B2" s="6">
        <v>4</v>
      </c>
      <c r="C2" s="6">
        <f>ROUND($H$3*A2+SQRT(1-$E$3)*B2,0)</f>
        <v>35</v>
      </c>
      <c r="E2" s="12" t="s">
        <v>20</v>
      </c>
      <c r="G2" s="7" t="s">
        <v>17</v>
      </c>
      <c r="H2" s="8">
        <f>PEARSON(A2:A70,B2:B70)</f>
        <v>-8.398693605661256E-2</v>
      </c>
      <c r="I2" s="4" t="s">
        <v>18</v>
      </c>
    </row>
    <row r="3" spans="1:9" ht="19.2" thickBot="1" x14ac:dyDescent="0.5">
      <c r="A3" s="5">
        <v>15</v>
      </c>
      <c r="B3" s="5">
        <v>6</v>
      </c>
      <c r="C3" s="5">
        <f t="shared" ref="C3:C66" si="0">ROUND($H$3*A3+SQRT(1-$E$3)*B3,0)</f>
        <v>16</v>
      </c>
      <c r="E3" s="2">
        <f>H3^2</f>
        <v>0.94089999999999996</v>
      </c>
      <c r="G3" s="7" t="s">
        <v>19</v>
      </c>
      <c r="H3" s="8">
        <v>0.97</v>
      </c>
    </row>
    <row r="4" spans="1:9" ht="19.2" thickBot="1" x14ac:dyDescent="0.5">
      <c r="A4" s="5">
        <v>40</v>
      </c>
      <c r="B4" s="5">
        <v>2</v>
      </c>
      <c r="C4" s="5">
        <f t="shared" si="0"/>
        <v>39</v>
      </c>
      <c r="G4" s="7" t="s">
        <v>21</v>
      </c>
      <c r="H4" s="8">
        <f>PEARSON(A2:A70,C2:C70)</f>
        <v>0.9987804165043036</v>
      </c>
      <c r="I4" s="4" t="s">
        <v>24</v>
      </c>
    </row>
    <row r="5" spans="1:9" x14ac:dyDescent="0.3">
      <c r="A5" s="5">
        <v>50</v>
      </c>
      <c r="B5" s="5">
        <v>3</v>
      </c>
      <c r="C5" s="5">
        <f t="shared" si="0"/>
        <v>49</v>
      </c>
    </row>
    <row r="6" spans="1:9" x14ac:dyDescent="0.3">
      <c r="A6" s="5">
        <v>30</v>
      </c>
      <c r="B6" s="5">
        <v>7</v>
      </c>
      <c r="C6" s="5">
        <f t="shared" si="0"/>
        <v>31</v>
      </c>
    </row>
    <row r="7" spans="1:9" x14ac:dyDescent="0.3">
      <c r="A7" s="5">
        <v>52</v>
      </c>
      <c r="B7" s="5">
        <v>3</v>
      </c>
      <c r="C7" s="5">
        <f t="shared" si="0"/>
        <v>51</v>
      </c>
    </row>
    <row r="8" spans="1:9" x14ac:dyDescent="0.3">
      <c r="A8" s="5">
        <v>32</v>
      </c>
      <c r="B8" s="5">
        <v>3</v>
      </c>
      <c r="C8" s="5">
        <f t="shared" si="0"/>
        <v>32</v>
      </c>
    </row>
    <row r="9" spans="1:9" x14ac:dyDescent="0.3">
      <c r="A9" s="5">
        <v>40</v>
      </c>
      <c r="B9" s="5">
        <v>5</v>
      </c>
      <c r="C9" s="5">
        <f t="shared" si="0"/>
        <v>40</v>
      </c>
    </row>
    <row r="10" spans="1:9" x14ac:dyDescent="0.3">
      <c r="A10" s="5">
        <v>15</v>
      </c>
      <c r="B10" s="5">
        <v>2</v>
      </c>
      <c r="C10" s="5">
        <f t="shared" si="0"/>
        <v>15</v>
      </c>
    </row>
    <row r="11" spans="1:9" x14ac:dyDescent="0.3">
      <c r="A11" s="5">
        <v>32</v>
      </c>
      <c r="B11" s="5">
        <v>2</v>
      </c>
      <c r="C11" s="5">
        <f t="shared" si="0"/>
        <v>32</v>
      </c>
    </row>
    <row r="12" spans="1:9" x14ac:dyDescent="0.3">
      <c r="A12" s="5">
        <v>31</v>
      </c>
      <c r="B12" s="5">
        <v>2</v>
      </c>
      <c r="C12" s="5">
        <f t="shared" si="0"/>
        <v>31</v>
      </c>
    </row>
    <row r="13" spans="1:9" x14ac:dyDescent="0.3">
      <c r="A13" s="5">
        <v>18</v>
      </c>
      <c r="B13" s="5">
        <v>5</v>
      </c>
      <c r="C13" s="5">
        <f t="shared" si="0"/>
        <v>19</v>
      </c>
    </row>
    <row r="14" spans="1:9" x14ac:dyDescent="0.3">
      <c r="A14" s="5">
        <v>29</v>
      </c>
      <c r="B14" s="5">
        <v>5</v>
      </c>
      <c r="C14" s="5">
        <f t="shared" si="0"/>
        <v>29</v>
      </c>
    </row>
    <row r="15" spans="1:9" x14ac:dyDescent="0.3">
      <c r="A15" s="5">
        <v>58</v>
      </c>
      <c r="B15" s="5">
        <v>5</v>
      </c>
      <c r="C15" s="5">
        <f t="shared" si="0"/>
        <v>57</v>
      </c>
    </row>
    <row r="16" spans="1:9" x14ac:dyDescent="0.3">
      <c r="A16" s="5">
        <v>36</v>
      </c>
      <c r="B16" s="5">
        <v>7</v>
      </c>
      <c r="C16" s="5">
        <f t="shared" si="0"/>
        <v>37</v>
      </c>
    </row>
    <row r="17" spans="1:3" x14ac:dyDescent="0.3">
      <c r="A17" s="5">
        <v>31</v>
      </c>
      <c r="B17" s="5">
        <v>6</v>
      </c>
      <c r="C17" s="5">
        <f t="shared" si="0"/>
        <v>32</v>
      </c>
    </row>
    <row r="18" spans="1:3" x14ac:dyDescent="0.3">
      <c r="A18" s="5">
        <v>16</v>
      </c>
      <c r="B18" s="5">
        <v>1</v>
      </c>
      <c r="C18" s="5">
        <f t="shared" si="0"/>
        <v>16</v>
      </c>
    </row>
    <row r="19" spans="1:3" x14ac:dyDescent="0.3">
      <c r="A19" s="5">
        <v>32</v>
      </c>
      <c r="B19" s="5">
        <v>6</v>
      </c>
      <c r="C19" s="5">
        <f t="shared" si="0"/>
        <v>32</v>
      </c>
    </row>
    <row r="20" spans="1:3" x14ac:dyDescent="0.3">
      <c r="A20" s="5">
        <v>28</v>
      </c>
      <c r="B20" s="5">
        <v>4</v>
      </c>
      <c r="C20" s="5">
        <f t="shared" si="0"/>
        <v>28</v>
      </c>
    </row>
    <row r="21" spans="1:3" x14ac:dyDescent="0.3">
      <c r="A21" s="5">
        <v>42</v>
      </c>
      <c r="B21" s="5">
        <v>5</v>
      </c>
      <c r="C21" s="5">
        <f t="shared" si="0"/>
        <v>42</v>
      </c>
    </row>
    <row r="22" spans="1:3" x14ac:dyDescent="0.3">
      <c r="A22" s="5">
        <v>49</v>
      </c>
      <c r="B22" s="5">
        <v>4</v>
      </c>
      <c r="C22" s="5">
        <f t="shared" si="0"/>
        <v>49</v>
      </c>
    </row>
    <row r="23" spans="1:3" x14ac:dyDescent="0.3">
      <c r="A23" s="5">
        <v>34</v>
      </c>
      <c r="B23" s="5">
        <v>5</v>
      </c>
      <c r="C23" s="5">
        <f t="shared" si="0"/>
        <v>34</v>
      </c>
    </row>
    <row r="24" spans="1:3" x14ac:dyDescent="0.3">
      <c r="A24" s="5">
        <v>33</v>
      </c>
      <c r="B24" s="5">
        <v>2</v>
      </c>
      <c r="C24" s="5">
        <f t="shared" si="0"/>
        <v>32</v>
      </c>
    </row>
    <row r="25" spans="1:3" x14ac:dyDescent="0.3">
      <c r="A25" s="5">
        <v>46</v>
      </c>
      <c r="B25" s="5">
        <v>3</v>
      </c>
      <c r="C25" s="5">
        <f t="shared" si="0"/>
        <v>45</v>
      </c>
    </row>
    <row r="26" spans="1:3" x14ac:dyDescent="0.3">
      <c r="A26" s="5">
        <v>27</v>
      </c>
      <c r="B26" s="5">
        <v>1</v>
      </c>
      <c r="C26" s="5">
        <f t="shared" si="0"/>
        <v>26</v>
      </c>
    </row>
    <row r="27" spans="1:3" x14ac:dyDescent="0.3">
      <c r="A27" s="5">
        <v>44</v>
      </c>
      <c r="B27" s="5">
        <v>1</v>
      </c>
      <c r="C27" s="5">
        <f t="shared" si="0"/>
        <v>43</v>
      </c>
    </row>
    <row r="28" spans="1:3" x14ac:dyDescent="0.3">
      <c r="A28" s="5">
        <v>42</v>
      </c>
      <c r="B28" s="5">
        <v>7</v>
      </c>
      <c r="C28" s="5">
        <f t="shared" si="0"/>
        <v>42</v>
      </c>
    </row>
    <row r="29" spans="1:3" x14ac:dyDescent="0.3">
      <c r="A29" s="5">
        <v>38</v>
      </c>
      <c r="B29" s="5">
        <v>1</v>
      </c>
      <c r="C29" s="5">
        <f t="shared" si="0"/>
        <v>37</v>
      </c>
    </row>
    <row r="30" spans="1:3" x14ac:dyDescent="0.3">
      <c r="A30" s="5">
        <v>46</v>
      </c>
      <c r="B30" s="5">
        <v>2</v>
      </c>
      <c r="C30" s="5">
        <f t="shared" si="0"/>
        <v>45</v>
      </c>
    </row>
    <row r="31" spans="1:3" x14ac:dyDescent="0.3">
      <c r="A31" s="5">
        <v>20</v>
      </c>
      <c r="B31" s="5">
        <v>5</v>
      </c>
      <c r="C31" s="5">
        <f t="shared" si="0"/>
        <v>21</v>
      </c>
    </row>
    <row r="32" spans="1:3" x14ac:dyDescent="0.3">
      <c r="A32" s="5">
        <v>58</v>
      </c>
      <c r="B32" s="5">
        <v>1</v>
      </c>
      <c r="C32" s="5">
        <f t="shared" si="0"/>
        <v>57</v>
      </c>
    </row>
    <row r="33" spans="1:3" x14ac:dyDescent="0.3">
      <c r="A33" s="5">
        <v>68</v>
      </c>
      <c r="B33" s="5">
        <v>3</v>
      </c>
      <c r="C33" s="5">
        <f t="shared" si="0"/>
        <v>67</v>
      </c>
    </row>
    <row r="34" spans="1:3" x14ac:dyDescent="0.3">
      <c r="A34" s="5">
        <v>43</v>
      </c>
      <c r="B34" s="5">
        <v>1</v>
      </c>
      <c r="C34" s="5">
        <f t="shared" si="0"/>
        <v>42</v>
      </c>
    </row>
    <row r="35" spans="1:3" x14ac:dyDescent="0.3">
      <c r="A35" s="5">
        <v>41</v>
      </c>
      <c r="B35" s="5">
        <v>7</v>
      </c>
      <c r="C35" s="5">
        <f t="shared" si="0"/>
        <v>41</v>
      </c>
    </row>
    <row r="36" spans="1:3" x14ac:dyDescent="0.3">
      <c r="A36" s="5">
        <v>29</v>
      </c>
      <c r="B36" s="5">
        <v>5</v>
      </c>
      <c r="C36" s="5">
        <f t="shared" si="0"/>
        <v>29</v>
      </c>
    </row>
    <row r="37" spans="1:3" x14ac:dyDescent="0.3">
      <c r="A37" s="5">
        <v>42</v>
      </c>
      <c r="B37" s="5">
        <v>3</v>
      </c>
      <c r="C37" s="5">
        <f t="shared" si="0"/>
        <v>41</v>
      </c>
    </row>
    <row r="38" spans="1:3" x14ac:dyDescent="0.3">
      <c r="A38" s="5">
        <v>48</v>
      </c>
      <c r="B38" s="5">
        <v>6</v>
      </c>
      <c r="C38" s="5">
        <f t="shared" si="0"/>
        <v>48</v>
      </c>
    </row>
    <row r="39" spans="1:3" x14ac:dyDescent="0.3">
      <c r="A39" s="5">
        <v>51</v>
      </c>
      <c r="B39" s="5">
        <v>5</v>
      </c>
      <c r="C39" s="5">
        <f t="shared" si="0"/>
        <v>51</v>
      </c>
    </row>
    <row r="40" spans="1:3" x14ac:dyDescent="0.3">
      <c r="A40" s="5">
        <v>43</v>
      </c>
      <c r="B40" s="5">
        <v>4</v>
      </c>
      <c r="C40" s="5">
        <f t="shared" si="0"/>
        <v>43</v>
      </c>
    </row>
    <row r="41" spans="1:3" x14ac:dyDescent="0.3">
      <c r="A41" s="5">
        <v>29</v>
      </c>
      <c r="B41" s="5">
        <v>1</v>
      </c>
      <c r="C41" s="5">
        <f t="shared" si="0"/>
        <v>28</v>
      </c>
    </row>
    <row r="42" spans="1:3" x14ac:dyDescent="0.3">
      <c r="A42" s="5">
        <v>46</v>
      </c>
      <c r="B42" s="5">
        <v>7</v>
      </c>
      <c r="C42" s="5">
        <f t="shared" si="0"/>
        <v>46</v>
      </c>
    </row>
    <row r="43" spans="1:3" x14ac:dyDescent="0.3">
      <c r="A43" s="5">
        <v>73</v>
      </c>
      <c r="B43" s="5">
        <v>5</v>
      </c>
      <c r="C43" s="5">
        <f t="shared" si="0"/>
        <v>72</v>
      </c>
    </row>
    <row r="44" spans="1:3" x14ac:dyDescent="0.3">
      <c r="A44" s="5">
        <v>42</v>
      </c>
      <c r="B44" s="5">
        <v>5</v>
      </c>
      <c r="C44" s="5">
        <f t="shared" si="0"/>
        <v>42</v>
      </c>
    </row>
    <row r="45" spans="1:3" x14ac:dyDescent="0.3">
      <c r="A45" s="5">
        <v>20</v>
      </c>
      <c r="B45" s="5">
        <v>6</v>
      </c>
      <c r="C45" s="5">
        <f t="shared" si="0"/>
        <v>21</v>
      </c>
    </row>
    <row r="46" spans="1:3" x14ac:dyDescent="0.3">
      <c r="A46" s="5">
        <v>25</v>
      </c>
      <c r="B46" s="5">
        <v>4</v>
      </c>
      <c r="C46" s="5">
        <f t="shared" si="0"/>
        <v>25</v>
      </c>
    </row>
    <row r="47" spans="1:3" x14ac:dyDescent="0.3">
      <c r="A47" s="5">
        <v>14</v>
      </c>
      <c r="B47" s="5">
        <v>7</v>
      </c>
      <c r="C47" s="5">
        <f t="shared" si="0"/>
        <v>15</v>
      </c>
    </row>
    <row r="48" spans="1:3" x14ac:dyDescent="0.3">
      <c r="A48" s="5">
        <v>33</v>
      </c>
      <c r="B48" s="5">
        <v>5</v>
      </c>
      <c r="C48" s="5">
        <f t="shared" si="0"/>
        <v>33</v>
      </c>
    </row>
    <row r="49" spans="1:3" x14ac:dyDescent="0.3">
      <c r="A49" s="5">
        <v>47</v>
      </c>
      <c r="B49" s="5">
        <v>2</v>
      </c>
      <c r="C49" s="5">
        <f t="shared" si="0"/>
        <v>46</v>
      </c>
    </row>
    <row r="50" spans="1:3" x14ac:dyDescent="0.3">
      <c r="A50" s="5">
        <v>31</v>
      </c>
      <c r="B50" s="5">
        <v>5</v>
      </c>
      <c r="C50" s="5">
        <f t="shared" si="0"/>
        <v>31</v>
      </c>
    </row>
    <row r="51" spans="1:3" x14ac:dyDescent="0.3">
      <c r="A51" s="5">
        <v>32</v>
      </c>
      <c r="B51" s="5">
        <v>2</v>
      </c>
      <c r="C51" s="5">
        <f t="shared" si="0"/>
        <v>32</v>
      </c>
    </row>
    <row r="52" spans="1:3" x14ac:dyDescent="0.3">
      <c r="A52" s="5">
        <v>40</v>
      </c>
      <c r="B52" s="5">
        <v>4</v>
      </c>
      <c r="C52" s="5">
        <f t="shared" si="0"/>
        <v>40</v>
      </c>
    </row>
    <row r="53" spans="1:3" x14ac:dyDescent="0.3">
      <c r="A53" s="5">
        <v>38</v>
      </c>
      <c r="B53" s="5">
        <v>6</v>
      </c>
      <c r="C53" s="5">
        <f t="shared" si="0"/>
        <v>38</v>
      </c>
    </row>
    <row r="54" spans="1:3" x14ac:dyDescent="0.3">
      <c r="A54" s="5">
        <v>37</v>
      </c>
      <c r="B54" s="5">
        <v>5</v>
      </c>
      <c r="C54" s="5">
        <f t="shared" si="0"/>
        <v>37</v>
      </c>
    </row>
    <row r="55" spans="1:3" x14ac:dyDescent="0.3">
      <c r="A55" s="5">
        <v>38</v>
      </c>
      <c r="B55" s="5">
        <v>1</v>
      </c>
      <c r="C55" s="5">
        <f t="shared" si="0"/>
        <v>37</v>
      </c>
    </row>
    <row r="56" spans="1:3" x14ac:dyDescent="0.3">
      <c r="A56" s="5">
        <v>37</v>
      </c>
      <c r="B56" s="5">
        <v>2</v>
      </c>
      <c r="C56" s="5">
        <f t="shared" si="0"/>
        <v>36</v>
      </c>
    </row>
    <row r="57" spans="1:3" x14ac:dyDescent="0.3">
      <c r="A57" s="5">
        <v>37</v>
      </c>
      <c r="B57" s="5">
        <v>7</v>
      </c>
      <c r="C57" s="5">
        <f t="shared" si="0"/>
        <v>38</v>
      </c>
    </row>
    <row r="58" spans="1:3" x14ac:dyDescent="0.3">
      <c r="A58" s="5">
        <v>27</v>
      </c>
      <c r="B58" s="5">
        <v>4</v>
      </c>
      <c r="C58" s="5">
        <f t="shared" si="0"/>
        <v>27</v>
      </c>
    </row>
    <row r="59" spans="1:3" x14ac:dyDescent="0.3">
      <c r="A59" s="5">
        <v>37</v>
      </c>
      <c r="B59" s="5">
        <v>3</v>
      </c>
      <c r="C59" s="5">
        <f t="shared" si="0"/>
        <v>37</v>
      </c>
    </row>
    <row r="60" spans="1:3" x14ac:dyDescent="0.3">
      <c r="A60" s="5">
        <v>43</v>
      </c>
      <c r="B60" s="5">
        <v>2</v>
      </c>
      <c r="C60" s="5">
        <f t="shared" si="0"/>
        <v>42</v>
      </c>
    </row>
    <row r="61" spans="1:3" x14ac:dyDescent="0.3">
      <c r="A61" s="5">
        <v>39</v>
      </c>
      <c r="B61" s="5">
        <v>2</v>
      </c>
      <c r="C61" s="5">
        <f t="shared" si="0"/>
        <v>38</v>
      </c>
    </row>
    <row r="62" spans="1:3" x14ac:dyDescent="0.3">
      <c r="A62" s="5">
        <v>31</v>
      </c>
      <c r="B62" s="5">
        <v>1</v>
      </c>
      <c r="C62" s="5">
        <f t="shared" si="0"/>
        <v>30</v>
      </c>
    </row>
    <row r="63" spans="1:3" x14ac:dyDescent="0.3">
      <c r="A63" s="5">
        <v>44</v>
      </c>
      <c r="B63" s="5">
        <v>5</v>
      </c>
      <c r="C63" s="5">
        <f t="shared" si="0"/>
        <v>44</v>
      </c>
    </row>
    <row r="64" spans="1:3" x14ac:dyDescent="0.3">
      <c r="A64" s="5">
        <v>48</v>
      </c>
      <c r="B64" s="5">
        <v>3</v>
      </c>
      <c r="C64" s="5">
        <f t="shared" si="0"/>
        <v>47</v>
      </c>
    </row>
    <row r="65" spans="1:3" x14ac:dyDescent="0.3">
      <c r="A65" s="5">
        <v>36</v>
      </c>
      <c r="B65" s="5">
        <v>6</v>
      </c>
      <c r="C65" s="5">
        <f t="shared" si="0"/>
        <v>36</v>
      </c>
    </row>
    <row r="66" spans="1:3" x14ac:dyDescent="0.3">
      <c r="A66" s="5">
        <v>34</v>
      </c>
      <c r="B66" s="5">
        <v>1</v>
      </c>
      <c r="C66" s="5">
        <f t="shared" si="0"/>
        <v>33</v>
      </c>
    </row>
    <row r="67" spans="1:3" x14ac:dyDescent="0.3">
      <c r="A67" s="5">
        <v>34</v>
      </c>
      <c r="B67" s="5">
        <v>3</v>
      </c>
      <c r="C67" s="5">
        <f t="shared" ref="C67:C70" si="1">ROUND($H$3*A67+SQRT(1-$E$3)*B67,0)</f>
        <v>34</v>
      </c>
    </row>
    <row r="68" spans="1:3" x14ac:dyDescent="0.3">
      <c r="A68" s="5">
        <v>27</v>
      </c>
      <c r="B68" s="5">
        <v>7</v>
      </c>
      <c r="C68" s="5">
        <f t="shared" si="1"/>
        <v>28</v>
      </c>
    </row>
    <row r="69" spans="1:3" x14ac:dyDescent="0.3">
      <c r="A69" s="5">
        <v>59</v>
      </c>
      <c r="B69" s="5">
        <v>4</v>
      </c>
      <c r="C69" s="5">
        <f t="shared" si="1"/>
        <v>58</v>
      </c>
    </row>
    <row r="70" spans="1:3" x14ac:dyDescent="0.3">
      <c r="A70" s="5">
        <v>39</v>
      </c>
      <c r="B70" s="5">
        <v>6</v>
      </c>
      <c r="C70" s="5">
        <f t="shared" si="1"/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E139"/>
  <sheetViews>
    <sheetView workbookViewId="0">
      <selection activeCell="A2" sqref="A2"/>
    </sheetView>
  </sheetViews>
  <sheetFormatPr defaultRowHeight="14.4" x14ac:dyDescent="0.3"/>
  <cols>
    <col min="1" max="1" width="13.109375" style="12" customWidth="1"/>
    <col min="2" max="2" width="13.77734375" style="2" bestFit="1" customWidth="1"/>
    <col min="3" max="16384" width="8.88671875" style="2"/>
  </cols>
  <sheetData>
    <row r="1" spans="1:5" ht="19.2" thickBot="1" x14ac:dyDescent="0.5">
      <c r="A1" s="1" t="s">
        <v>22</v>
      </c>
      <c r="B1" s="1" t="s">
        <v>23</v>
      </c>
    </row>
    <row r="2" spans="1:5" x14ac:dyDescent="0.3">
      <c r="A2" s="6">
        <f>'(Un)correlated variables'!A47</f>
        <v>14</v>
      </c>
      <c r="B2" s="6">
        <v>1</v>
      </c>
    </row>
    <row r="3" spans="1:5" x14ac:dyDescent="0.3">
      <c r="A3" s="5">
        <f>'(Un)correlated variables'!A3</f>
        <v>15</v>
      </c>
      <c r="B3" s="5">
        <f>B2+1</f>
        <v>2</v>
      </c>
    </row>
    <row r="4" spans="1:5" x14ac:dyDescent="0.3">
      <c r="A4" s="5">
        <f>'(Un)correlated variables'!A10</f>
        <v>15</v>
      </c>
      <c r="B4" s="5">
        <f t="shared" ref="B4:B67" si="0">B3+1</f>
        <v>3</v>
      </c>
    </row>
    <row r="5" spans="1:5" x14ac:dyDescent="0.3">
      <c r="A5" s="5">
        <f>'(Un)correlated variables'!C10</f>
        <v>15</v>
      </c>
      <c r="B5" s="5">
        <f t="shared" si="0"/>
        <v>4</v>
      </c>
    </row>
    <row r="6" spans="1:5" x14ac:dyDescent="0.3">
      <c r="A6" s="5">
        <f>'(Un)correlated variables'!C47</f>
        <v>15</v>
      </c>
      <c r="B6" s="5">
        <f t="shared" si="0"/>
        <v>5</v>
      </c>
    </row>
    <row r="7" spans="1:5" x14ac:dyDescent="0.3">
      <c r="A7" s="5">
        <f>'(Un)correlated variables'!A18</f>
        <v>16</v>
      </c>
      <c r="B7" s="5">
        <f t="shared" si="0"/>
        <v>6</v>
      </c>
    </row>
    <row r="8" spans="1:5" x14ac:dyDescent="0.3">
      <c r="A8" s="5">
        <f>'(Un)correlated variables'!C3</f>
        <v>16</v>
      </c>
      <c r="B8" s="5">
        <f t="shared" si="0"/>
        <v>7</v>
      </c>
    </row>
    <row r="9" spans="1:5" x14ac:dyDescent="0.3">
      <c r="A9" s="5">
        <f>'(Un)correlated variables'!C18</f>
        <v>16</v>
      </c>
      <c r="B9" s="5">
        <f t="shared" si="0"/>
        <v>8</v>
      </c>
    </row>
    <row r="10" spans="1:5" x14ac:dyDescent="0.3">
      <c r="A10" s="5">
        <f>'(Un)correlated variables'!A13</f>
        <v>18</v>
      </c>
      <c r="B10" s="5">
        <f t="shared" si="0"/>
        <v>9</v>
      </c>
      <c r="E10" s="4">
        <f>_xlfn.FORECAST.LINEAR(160,A2:A139,B2:B139)</f>
        <v>61.881692614806923</v>
      </c>
    </row>
    <row r="11" spans="1:5" x14ac:dyDescent="0.3">
      <c r="A11" s="5">
        <f>'(Un)correlated variables'!C13</f>
        <v>19</v>
      </c>
      <c r="B11" s="5">
        <f t="shared" si="0"/>
        <v>10</v>
      </c>
    </row>
    <row r="12" spans="1:5" x14ac:dyDescent="0.3">
      <c r="A12" s="5">
        <f>'(Un)correlated variables'!A31</f>
        <v>20</v>
      </c>
      <c r="B12" s="5">
        <f t="shared" si="0"/>
        <v>11</v>
      </c>
    </row>
    <row r="13" spans="1:5" x14ac:dyDescent="0.3">
      <c r="A13" s="5">
        <f>'(Un)correlated variables'!A45</f>
        <v>20</v>
      </c>
      <c r="B13" s="5">
        <f t="shared" si="0"/>
        <v>12</v>
      </c>
    </row>
    <row r="14" spans="1:5" x14ac:dyDescent="0.3">
      <c r="A14" s="5">
        <f>'(Un)correlated variables'!C31</f>
        <v>21</v>
      </c>
      <c r="B14" s="5">
        <f t="shared" si="0"/>
        <v>13</v>
      </c>
    </row>
    <row r="15" spans="1:5" x14ac:dyDescent="0.3">
      <c r="A15" s="5">
        <f>'(Un)correlated variables'!C45</f>
        <v>21</v>
      </c>
      <c r="B15" s="5">
        <f t="shared" si="0"/>
        <v>14</v>
      </c>
    </row>
    <row r="16" spans="1:5" x14ac:dyDescent="0.3">
      <c r="A16" s="5">
        <f>'(Un)correlated variables'!A46</f>
        <v>25</v>
      </c>
      <c r="B16" s="5">
        <f t="shared" si="0"/>
        <v>15</v>
      </c>
    </row>
    <row r="17" spans="1:2" x14ac:dyDescent="0.3">
      <c r="A17" s="5">
        <f>'(Un)correlated variables'!C46</f>
        <v>25</v>
      </c>
      <c r="B17" s="5">
        <f t="shared" si="0"/>
        <v>16</v>
      </c>
    </row>
    <row r="18" spans="1:2" x14ac:dyDescent="0.3">
      <c r="A18" s="5">
        <f>'(Un)correlated variables'!C26</f>
        <v>26</v>
      </c>
      <c r="B18" s="5">
        <f t="shared" si="0"/>
        <v>17</v>
      </c>
    </row>
    <row r="19" spans="1:2" x14ac:dyDescent="0.3">
      <c r="A19" s="5">
        <f>'(Un)correlated variables'!A26</f>
        <v>27</v>
      </c>
      <c r="B19" s="5">
        <f t="shared" si="0"/>
        <v>18</v>
      </c>
    </row>
    <row r="20" spans="1:2" x14ac:dyDescent="0.3">
      <c r="A20" s="5">
        <f>'(Un)correlated variables'!A58</f>
        <v>27</v>
      </c>
      <c r="B20" s="5">
        <f t="shared" si="0"/>
        <v>19</v>
      </c>
    </row>
    <row r="21" spans="1:2" x14ac:dyDescent="0.3">
      <c r="A21" s="5">
        <f>'(Un)correlated variables'!A68</f>
        <v>27</v>
      </c>
      <c r="B21" s="5">
        <f t="shared" si="0"/>
        <v>20</v>
      </c>
    </row>
    <row r="22" spans="1:2" x14ac:dyDescent="0.3">
      <c r="A22" s="5">
        <f>'(Un)correlated variables'!C58</f>
        <v>27</v>
      </c>
      <c r="B22" s="5">
        <f t="shared" si="0"/>
        <v>21</v>
      </c>
    </row>
    <row r="23" spans="1:2" x14ac:dyDescent="0.3">
      <c r="A23" s="5">
        <f>'(Un)correlated variables'!A20</f>
        <v>28</v>
      </c>
      <c r="B23" s="5">
        <f t="shared" si="0"/>
        <v>22</v>
      </c>
    </row>
    <row r="24" spans="1:2" x14ac:dyDescent="0.3">
      <c r="A24" s="5">
        <f>'(Un)correlated variables'!C20</f>
        <v>28</v>
      </c>
      <c r="B24" s="5">
        <f t="shared" si="0"/>
        <v>23</v>
      </c>
    </row>
    <row r="25" spans="1:2" x14ac:dyDescent="0.3">
      <c r="A25" s="5">
        <f>'(Un)correlated variables'!C41</f>
        <v>28</v>
      </c>
      <c r="B25" s="5">
        <f t="shared" si="0"/>
        <v>24</v>
      </c>
    </row>
    <row r="26" spans="1:2" x14ac:dyDescent="0.3">
      <c r="A26" s="5">
        <f>'(Un)correlated variables'!C68</f>
        <v>28</v>
      </c>
      <c r="B26" s="5">
        <f t="shared" si="0"/>
        <v>25</v>
      </c>
    </row>
    <row r="27" spans="1:2" x14ac:dyDescent="0.3">
      <c r="A27" s="5">
        <f>'(Un)correlated variables'!A14</f>
        <v>29</v>
      </c>
      <c r="B27" s="5">
        <f t="shared" si="0"/>
        <v>26</v>
      </c>
    </row>
    <row r="28" spans="1:2" x14ac:dyDescent="0.3">
      <c r="A28" s="5">
        <f>'(Un)correlated variables'!A36</f>
        <v>29</v>
      </c>
      <c r="B28" s="5">
        <f t="shared" si="0"/>
        <v>27</v>
      </c>
    </row>
    <row r="29" spans="1:2" x14ac:dyDescent="0.3">
      <c r="A29" s="5">
        <f>'(Un)correlated variables'!A41</f>
        <v>29</v>
      </c>
      <c r="B29" s="5">
        <f t="shared" si="0"/>
        <v>28</v>
      </c>
    </row>
    <row r="30" spans="1:2" x14ac:dyDescent="0.3">
      <c r="A30" s="5">
        <f>'(Un)correlated variables'!C14</f>
        <v>29</v>
      </c>
      <c r="B30" s="5">
        <f t="shared" si="0"/>
        <v>29</v>
      </c>
    </row>
    <row r="31" spans="1:2" x14ac:dyDescent="0.3">
      <c r="A31" s="5">
        <f>'(Un)correlated variables'!C36</f>
        <v>29</v>
      </c>
      <c r="B31" s="5">
        <f t="shared" si="0"/>
        <v>30</v>
      </c>
    </row>
    <row r="32" spans="1:2" x14ac:dyDescent="0.3">
      <c r="A32" s="5">
        <f>'(Un)correlated variables'!A6</f>
        <v>30</v>
      </c>
      <c r="B32" s="5">
        <f t="shared" si="0"/>
        <v>31</v>
      </c>
    </row>
    <row r="33" spans="1:2" x14ac:dyDescent="0.3">
      <c r="A33" s="5">
        <f>'(Un)correlated variables'!C62</f>
        <v>30</v>
      </c>
      <c r="B33" s="5">
        <f t="shared" si="0"/>
        <v>32</v>
      </c>
    </row>
    <row r="34" spans="1:2" x14ac:dyDescent="0.3">
      <c r="A34" s="5">
        <f>'(Un)correlated variables'!A12</f>
        <v>31</v>
      </c>
      <c r="B34" s="5">
        <f t="shared" si="0"/>
        <v>33</v>
      </c>
    </row>
    <row r="35" spans="1:2" x14ac:dyDescent="0.3">
      <c r="A35" s="5">
        <f>'(Un)correlated variables'!A17</f>
        <v>31</v>
      </c>
      <c r="B35" s="5">
        <f t="shared" si="0"/>
        <v>34</v>
      </c>
    </row>
    <row r="36" spans="1:2" x14ac:dyDescent="0.3">
      <c r="A36" s="5">
        <f>'(Un)correlated variables'!A50</f>
        <v>31</v>
      </c>
      <c r="B36" s="5">
        <f t="shared" si="0"/>
        <v>35</v>
      </c>
    </row>
    <row r="37" spans="1:2" x14ac:dyDescent="0.3">
      <c r="A37" s="5">
        <f>'(Un)correlated variables'!A62</f>
        <v>31</v>
      </c>
      <c r="B37" s="5">
        <f t="shared" si="0"/>
        <v>36</v>
      </c>
    </row>
    <row r="38" spans="1:2" x14ac:dyDescent="0.3">
      <c r="A38" s="5">
        <f>'(Un)correlated variables'!C6</f>
        <v>31</v>
      </c>
      <c r="B38" s="5">
        <f t="shared" si="0"/>
        <v>37</v>
      </c>
    </row>
    <row r="39" spans="1:2" x14ac:dyDescent="0.3">
      <c r="A39" s="5">
        <f>'(Un)correlated variables'!C12</f>
        <v>31</v>
      </c>
      <c r="B39" s="5">
        <f t="shared" si="0"/>
        <v>38</v>
      </c>
    </row>
    <row r="40" spans="1:2" x14ac:dyDescent="0.3">
      <c r="A40" s="5">
        <f>'(Un)correlated variables'!C50</f>
        <v>31</v>
      </c>
      <c r="B40" s="5">
        <f t="shared" si="0"/>
        <v>39</v>
      </c>
    </row>
    <row r="41" spans="1:2" x14ac:dyDescent="0.3">
      <c r="A41" s="5">
        <f>'(Un)correlated variables'!A8</f>
        <v>32</v>
      </c>
      <c r="B41" s="5">
        <f t="shared" si="0"/>
        <v>40</v>
      </c>
    </row>
    <row r="42" spans="1:2" x14ac:dyDescent="0.3">
      <c r="A42" s="5">
        <f>'(Un)correlated variables'!A11</f>
        <v>32</v>
      </c>
      <c r="B42" s="5">
        <f t="shared" si="0"/>
        <v>41</v>
      </c>
    </row>
    <row r="43" spans="1:2" x14ac:dyDescent="0.3">
      <c r="A43" s="5">
        <f>'(Un)correlated variables'!A19</f>
        <v>32</v>
      </c>
      <c r="B43" s="5">
        <f t="shared" si="0"/>
        <v>42</v>
      </c>
    </row>
    <row r="44" spans="1:2" x14ac:dyDescent="0.3">
      <c r="A44" s="5">
        <f>'(Un)correlated variables'!A51</f>
        <v>32</v>
      </c>
      <c r="B44" s="5">
        <f t="shared" si="0"/>
        <v>43</v>
      </c>
    </row>
    <row r="45" spans="1:2" x14ac:dyDescent="0.3">
      <c r="A45" s="5">
        <f>'(Un)correlated variables'!C8</f>
        <v>32</v>
      </c>
      <c r="B45" s="5">
        <f t="shared" si="0"/>
        <v>44</v>
      </c>
    </row>
    <row r="46" spans="1:2" x14ac:dyDescent="0.3">
      <c r="A46" s="5">
        <f>'(Un)correlated variables'!C11</f>
        <v>32</v>
      </c>
      <c r="B46" s="5">
        <f t="shared" si="0"/>
        <v>45</v>
      </c>
    </row>
    <row r="47" spans="1:2" x14ac:dyDescent="0.3">
      <c r="A47" s="5">
        <f>'(Un)correlated variables'!C17</f>
        <v>32</v>
      </c>
      <c r="B47" s="5">
        <f t="shared" si="0"/>
        <v>46</v>
      </c>
    </row>
    <row r="48" spans="1:2" x14ac:dyDescent="0.3">
      <c r="A48" s="5">
        <f>'(Un)correlated variables'!C19</f>
        <v>32</v>
      </c>
      <c r="B48" s="5">
        <f t="shared" si="0"/>
        <v>47</v>
      </c>
    </row>
    <row r="49" spans="1:2" x14ac:dyDescent="0.3">
      <c r="A49" s="5">
        <f>'(Un)correlated variables'!C24</f>
        <v>32</v>
      </c>
      <c r="B49" s="5">
        <f t="shared" si="0"/>
        <v>48</v>
      </c>
    </row>
    <row r="50" spans="1:2" x14ac:dyDescent="0.3">
      <c r="A50" s="5">
        <f>'(Un)correlated variables'!C51</f>
        <v>32</v>
      </c>
      <c r="B50" s="5">
        <f t="shared" si="0"/>
        <v>49</v>
      </c>
    </row>
    <row r="51" spans="1:2" x14ac:dyDescent="0.3">
      <c r="A51" s="5">
        <f>'(Un)correlated variables'!A24</f>
        <v>33</v>
      </c>
      <c r="B51" s="5">
        <f t="shared" si="0"/>
        <v>50</v>
      </c>
    </row>
    <row r="52" spans="1:2" x14ac:dyDescent="0.3">
      <c r="A52" s="5">
        <f>'(Un)correlated variables'!A48</f>
        <v>33</v>
      </c>
      <c r="B52" s="5">
        <f t="shared" si="0"/>
        <v>51</v>
      </c>
    </row>
    <row r="53" spans="1:2" x14ac:dyDescent="0.3">
      <c r="A53" s="5">
        <f>'(Un)correlated variables'!C48</f>
        <v>33</v>
      </c>
      <c r="B53" s="5">
        <f t="shared" si="0"/>
        <v>52</v>
      </c>
    </row>
    <row r="54" spans="1:2" x14ac:dyDescent="0.3">
      <c r="A54" s="5">
        <f>'(Un)correlated variables'!C66</f>
        <v>33</v>
      </c>
      <c r="B54" s="5">
        <f t="shared" si="0"/>
        <v>53</v>
      </c>
    </row>
    <row r="55" spans="1:2" x14ac:dyDescent="0.3">
      <c r="A55" s="5">
        <f>'(Un)correlated variables'!A23</f>
        <v>34</v>
      </c>
      <c r="B55" s="5">
        <f t="shared" si="0"/>
        <v>54</v>
      </c>
    </row>
    <row r="56" spans="1:2" x14ac:dyDescent="0.3">
      <c r="A56" s="5">
        <f>'(Un)correlated variables'!A66</f>
        <v>34</v>
      </c>
      <c r="B56" s="5">
        <f t="shared" si="0"/>
        <v>55</v>
      </c>
    </row>
    <row r="57" spans="1:2" x14ac:dyDescent="0.3">
      <c r="A57" s="5">
        <f>'(Un)correlated variables'!A67</f>
        <v>34</v>
      </c>
      <c r="B57" s="5">
        <f t="shared" si="0"/>
        <v>56</v>
      </c>
    </row>
    <row r="58" spans="1:2" x14ac:dyDescent="0.3">
      <c r="A58" s="5">
        <f>'(Un)correlated variables'!C23</f>
        <v>34</v>
      </c>
      <c r="B58" s="5">
        <f t="shared" si="0"/>
        <v>57</v>
      </c>
    </row>
    <row r="59" spans="1:2" x14ac:dyDescent="0.3">
      <c r="A59" s="5">
        <f>'(Un)correlated variables'!C67</f>
        <v>34</v>
      </c>
      <c r="B59" s="5">
        <f t="shared" si="0"/>
        <v>58</v>
      </c>
    </row>
    <row r="60" spans="1:2" x14ac:dyDescent="0.3">
      <c r="A60" s="5">
        <f>'(Un)correlated variables'!A2</f>
        <v>35</v>
      </c>
      <c r="B60" s="5">
        <f t="shared" si="0"/>
        <v>59</v>
      </c>
    </row>
    <row r="61" spans="1:2" x14ac:dyDescent="0.3">
      <c r="A61" s="5">
        <f>'(Un)correlated variables'!C2</f>
        <v>35</v>
      </c>
      <c r="B61" s="5">
        <f t="shared" si="0"/>
        <v>60</v>
      </c>
    </row>
    <row r="62" spans="1:2" x14ac:dyDescent="0.3">
      <c r="A62" s="5">
        <f>'(Un)correlated variables'!A16</f>
        <v>36</v>
      </c>
      <c r="B62" s="5">
        <f t="shared" si="0"/>
        <v>61</v>
      </c>
    </row>
    <row r="63" spans="1:2" x14ac:dyDescent="0.3">
      <c r="A63" s="5">
        <f>'(Un)correlated variables'!A65</f>
        <v>36</v>
      </c>
      <c r="B63" s="5">
        <f t="shared" si="0"/>
        <v>62</v>
      </c>
    </row>
    <row r="64" spans="1:2" x14ac:dyDescent="0.3">
      <c r="A64" s="5">
        <f>'(Un)correlated variables'!C56</f>
        <v>36</v>
      </c>
      <c r="B64" s="5">
        <f t="shared" si="0"/>
        <v>63</v>
      </c>
    </row>
    <row r="65" spans="1:2" x14ac:dyDescent="0.3">
      <c r="A65" s="5">
        <f>'(Un)correlated variables'!C65</f>
        <v>36</v>
      </c>
      <c r="B65" s="5">
        <f t="shared" si="0"/>
        <v>64</v>
      </c>
    </row>
    <row r="66" spans="1:2" x14ac:dyDescent="0.3">
      <c r="A66" s="5">
        <f>'(Un)correlated variables'!A54</f>
        <v>37</v>
      </c>
      <c r="B66" s="5">
        <f t="shared" si="0"/>
        <v>65</v>
      </c>
    </row>
    <row r="67" spans="1:2" x14ac:dyDescent="0.3">
      <c r="A67" s="5">
        <f>'(Un)correlated variables'!A56</f>
        <v>37</v>
      </c>
      <c r="B67" s="5">
        <f t="shared" si="0"/>
        <v>66</v>
      </c>
    </row>
    <row r="68" spans="1:2" x14ac:dyDescent="0.3">
      <c r="A68" s="5">
        <f>'(Un)correlated variables'!A57</f>
        <v>37</v>
      </c>
      <c r="B68" s="5">
        <f t="shared" ref="B68:B131" si="1">B67+1</f>
        <v>67</v>
      </c>
    </row>
    <row r="69" spans="1:2" x14ac:dyDescent="0.3">
      <c r="A69" s="5">
        <f>'(Un)correlated variables'!A59</f>
        <v>37</v>
      </c>
      <c r="B69" s="5">
        <f t="shared" si="1"/>
        <v>68</v>
      </c>
    </row>
    <row r="70" spans="1:2" x14ac:dyDescent="0.3">
      <c r="A70" s="5">
        <f>'(Un)correlated variables'!C16</f>
        <v>37</v>
      </c>
      <c r="B70" s="5">
        <f t="shared" si="1"/>
        <v>69</v>
      </c>
    </row>
    <row r="71" spans="1:2" x14ac:dyDescent="0.3">
      <c r="A71" s="5">
        <f>'(Un)correlated variables'!C29</f>
        <v>37</v>
      </c>
      <c r="B71" s="5">
        <f t="shared" si="1"/>
        <v>70</v>
      </c>
    </row>
    <row r="72" spans="1:2" x14ac:dyDescent="0.3">
      <c r="A72" s="5">
        <f>'(Un)correlated variables'!C54</f>
        <v>37</v>
      </c>
      <c r="B72" s="5">
        <f t="shared" si="1"/>
        <v>71</v>
      </c>
    </row>
    <row r="73" spans="1:2" x14ac:dyDescent="0.3">
      <c r="A73" s="5">
        <f>'(Un)correlated variables'!C55</f>
        <v>37</v>
      </c>
      <c r="B73" s="5">
        <f t="shared" si="1"/>
        <v>72</v>
      </c>
    </row>
    <row r="74" spans="1:2" x14ac:dyDescent="0.3">
      <c r="A74" s="5">
        <f>'(Un)correlated variables'!C59</f>
        <v>37</v>
      </c>
      <c r="B74" s="5">
        <f t="shared" si="1"/>
        <v>73</v>
      </c>
    </row>
    <row r="75" spans="1:2" x14ac:dyDescent="0.3">
      <c r="A75" s="5">
        <f>'(Un)correlated variables'!A29</f>
        <v>38</v>
      </c>
      <c r="B75" s="5">
        <f t="shared" si="1"/>
        <v>74</v>
      </c>
    </row>
    <row r="76" spans="1:2" x14ac:dyDescent="0.3">
      <c r="A76" s="5">
        <f>'(Un)correlated variables'!A53</f>
        <v>38</v>
      </c>
      <c r="B76" s="5">
        <f t="shared" si="1"/>
        <v>75</v>
      </c>
    </row>
    <row r="77" spans="1:2" x14ac:dyDescent="0.3">
      <c r="A77" s="5">
        <f>'(Un)correlated variables'!A55</f>
        <v>38</v>
      </c>
      <c r="B77" s="5">
        <f t="shared" si="1"/>
        <v>76</v>
      </c>
    </row>
    <row r="78" spans="1:2" x14ac:dyDescent="0.3">
      <c r="A78" s="5">
        <f>'(Un)correlated variables'!C53</f>
        <v>38</v>
      </c>
      <c r="B78" s="5">
        <f t="shared" si="1"/>
        <v>77</v>
      </c>
    </row>
    <row r="79" spans="1:2" x14ac:dyDescent="0.3">
      <c r="A79" s="5">
        <f>'(Un)correlated variables'!C57</f>
        <v>38</v>
      </c>
      <c r="B79" s="5">
        <f t="shared" si="1"/>
        <v>78</v>
      </c>
    </row>
    <row r="80" spans="1:2" x14ac:dyDescent="0.3">
      <c r="A80" s="5">
        <f>'(Un)correlated variables'!C61</f>
        <v>38</v>
      </c>
      <c r="B80" s="5">
        <f t="shared" si="1"/>
        <v>79</v>
      </c>
    </row>
    <row r="81" spans="1:2" x14ac:dyDescent="0.3">
      <c r="A81" s="5">
        <f>'(Un)correlated variables'!A61</f>
        <v>39</v>
      </c>
      <c r="B81" s="5">
        <f t="shared" si="1"/>
        <v>80</v>
      </c>
    </row>
    <row r="82" spans="1:2" x14ac:dyDescent="0.3">
      <c r="A82" s="5">
        <f>'(Un)correlated variables'!A70</f>
        <v>39</v>
      </c>
      <c r="B82" s="5">
        <f t="shared" si="1"/>
        <v>81</v>
      </c>
    </row>
    <row r="83" spans="1:2" x14ac:dyDescent="0.3">
      <c r="A83" s="5">
        <f>'(Un)correlated variables'!C4</f>
        <v>39</v>
      </c>
      <c r="B83" s="5">
        <f t="shared" si="1"/>
        <v>82</v>
      </c>
    </row>
    <row r="84" spans="1:2" x14ac:dyDescent="0.3">
      <c r="A84" s="5">
        <f>'(Un)correlated variables'!C70</f>
        <v>39</v>
      </c>
      <c r="B84" s="5">
        <f t="shared" si="1"/>
        <v>83</v>
      </c>
    </row>
    <row r="85" spans="1:2" x14ac:dyDescent="0.3">
      <c r="A85" s="5">
        <f>'(Un)correlated variables'!A4</f>
        <v>40</v>
      </c>
      <c r="B85" s="5">
        <f t="shared" si="1"/>
        <v>84</v>
      </c>
    </row>
    <row r="86" spans="1:2" x14ac:dyDescent="0.3">
      <c r="A86" s="5">
        <f>'(Un)correlated variables'!A9</f>
        <v>40</v>
      </c>
      <c r="B86" s="5">
        <f t="shared" si="1"/>
        <v>85</v>
      </c>
    </row>
    <row r="87" spans="1:2" x14ac:dyDescent="0.3">
      <c r="A87" s="5">
        <f>'(Un)correlated variables'!A52</f>
        <v>40</v>
      </c>
      <c r="B87" s="5">
        <f t="shared" si="1"/>
        <v>86</v>
      </c>
    </row>
    <row r="88" spans="1:2" x14ac:dyDescent="0.3">
      <c r="A88" s="5">
        <f>'(Un)correlated variables'!C9</f>
        <v>40</v>
      </c>
      <c r="B88" s="5">
        <f t="shared" si="1"/>
        <v>87</v>
      </c>
    </row>
    <row r="89" spans="1:2" x14ac:dyDescent="0.3">
      <c r="A89" s="5">
        <f>'(Un)correlated variables'!C52</f>
        <v>40</v>
      </c>
      <c r="B89" s="5">
        <f t="shared" si="1"/>
        <v>88</v>
      </c>
    </row>
    <row r="90" spans="1:2" x14ac:dyDescent="0.3">
      <c r="A90" s="5">
        <f>'(Un)correlated variables'!A35</f>
        <v>41</v>
      </c>
      <c r="B90" s="5">
        <f t="shared" si="1"/>
        <v>89</v>
      </c>
    </row>
    <row r="91" spans="1:2" x14ac:dyDescent="0.3">
      <c r="A91" s="5">
        <f>'(Un)correlated variables'!C35</f>
        <v>41</v>
      </c>
      <c r="B91" s="5">
        <f t="shared" si="1"/>
        <v>90</v>
      </c>
    </row>
    <row r="92" spans="1:2" x14ac:dyDescent="0.3">
      <c r="A92" s="5">
        <f>'(Un)correlated variables'!C37</f>
        <v>41</v>
      </c>
      <c r="B92" s="5">
        <f t="shared" si="1"/>
        <v>91</v>
      </c>
    </row>
    <row r="93" spans="1:2" x14ac:dyDescent="0.3">
      <c r="A93" s="5">
        <f>'(Un)correlated variables'!A21</f>
        <v>42</v>
      </c>
      <c r="B93" s="5">
        <f t="shared" si="1"/>
        <v>92</v>
      </c>
    </row>
    <row r="94" spans="1:2" x14ac:dyDescent="0.3">
      <c r="A94" s="5">
        <f>'(Un)correlated variables'!A28</f>
        <v>42</v>
      </c>
      <c r="B94" s="5">
        <f t="shared" si="1"/>
        <v>93</v>
      </c>
    </row>
    <row r="95" spans="1:2" x14ac:dyDescent="0.3">
      <c r="A95" s="5">
        <f>'(Un)correlated variables'!A37</f>
        <v>42</v>
      </c>
      <c r="B95" s="5">
        <f t="shared" si="1"/>
        <v>94</v>
      </c>
    </row>
    <row r="96" spans="1:2" x14ac:dyDescent="0.3">
      <c r="A96" s="5">
        <f>'(Un)correlated variables'!A44</f>
        <v>42</v>
      </c>
      <c r="B96" s="5">
        <f t="shared" si="1"/>
        <v>95</v>
      </c>
    </row>
    <row r="97" spans="1:2" x14ac:dyDescent="0.3">
      <c r="A97" s="5">
        <f>'(Un)correlated variables'!C21</f>
        <v>42</v>
      </c>
      <c r="B97" s="5">
        <f t="shared" si="1"/>
        <v>96</v>
      </c>
    </row>
    <row r="98" spans="1:2" x14ac:dyDescent="0.3">
      <c r="A98" s="5">
        <f>'(Un)correlated variables'!C28</f>
        <v>42</v>
      </c>
      <c r="B98" s="5">
        <f t="shared" si="1"/>
        <v>97</v>
      </c>
    </row>
    <row r="99" spans="1:2" x14ac:dyDescent="0.3">
      <c r="A99" s="5">
        <f>'(Un)correlated variables'!C34</f>
        <v>42</v>
      </c>
      <c r="B99" s="5">
        <f t="shared" si="1"/>
        <v>98</v>
      </c>
    </row>
    <row r="100" spans="1:2" x14ac:dyDescent="0.3">
      <c r="A100" s="5">
        <f>'(Un)correlated variables'!C44</f>
        <v>42</v>
      </c>
      <c r="B100" s="5">
        <f t="shared" si="1"/>
        <v>99</v>
      </c>
    </row>
    <row r="101" spans="1:2" x14ac:dyDescent="0.3">
      <c r="A101" s="5">
        <f>'(Un)correlated variables'!C60</f>
        <v>42</v>
      </c>
      <c r="B101" s="5">
        <f t="shared" si="1"/>
        <v>100</v>
      </c>
    </row>
    <row r="102" spans="1:2" x14ac:dyDescent="0.3">
      <c r="A102" s="5">
        <f>'(Un)correlated variables'!A34</f>
        <v>43</v>
      </c>
      <c r="B102" s="5">
        <f t="shared" si="1"/>
        <v>101</v>
      </c>
    </row>
    <row r="103" spans="1:2" x14ac:dyDescent="0.3">
      <c r="A103" s="5">
        <f>'(Un)correlated variables'!A40</f>
        <v>43</v>
      </c>
      <c r="B103" s="5">
        <f t="shared" si="1"/>
        <v>102</v>
      </c>
    </row>
    <row r="104" spans="1:2" x14ac:dyDescent="0.3">
      <c r="A104" s="5">
        <f>'(Un)correlated variables'!A60</f>
        <v>43</v>
      </c>
      <c r="B104" s="5">
        <f t="shared" si="1"/>
        <v>103</v>
      </c>
    </row>
    <row r="105" spans="1:2" x14ac:dyDescent="0.3">
      <c r="A105" s="5">
        <f>'(Un)correlated variables'!C27</f>
        <v>43</v>
      </c>
      <c r="B105" s="5">
        <f t="shared" si="1"/>
        <v>104</v>
      </c>
    </row>
    <row r="106" spans="1:2" x14ac:dyDescent="0.3">
      <c r="A106" s="5">
        <f>'(Un)correlated variables'!C40</f>
        <v>43</v>
      </c>
      <c r="B106" s="5">
        <f t="shared" si="1"/>
        <v>105</v>
      </c>
    </row>
    <row r="107" spans="1:2" x14ac:dyDescent="0.3">
      <c r="A107" s="5">
        <f>'(Un)correlated variables'!A27</f>
        <v>44</v>
      </c>
      <c r="B107" s="5">
        <f t="shared" si="1"/>
        <v>106</v>
      </c>
    </row>
    <row r="108" spans="1:2" x14ac:dyDescent="0.3">
      <c r="A108" s="5">
        <f>'(Un)correlated variables'!A63</f>
        <v>44</v>
      </c>
      <c r="B108" s="5">
        <f t="shared" si="1"/>
        <v>107</v>
      </c>
    </row>
    <row r="109" spans="1:2" x14ac:dyDescent="0.3">
      <c r="A109" s="5">
        <f>'(Un)correlated variables'!C63</f>
        <v>44</v>
      </c>
      <c r="B109" s="5">
        <f t="shared" si="1"/>
        <v>108</v>
      </c>
    </row>
    <row r="110" spans="1:2" x14ac:dyDescent="0.3">
      <c r="A110" s="5">
        <f>'(Un)correlated variables'!C25</f>
        <v>45</v>
      </c>
      <c r="B110" s="5">
        <f t="shared" si="1"/>
        <v>109</v>
      </c>
    </row>
    <row r="111" spans="1:2" x14ac:dyDescent="0.3">
      <c r="A111" s="5">
        <f>'(Un)correlated variables'!C30</f>
        <v>45</v>
      </c>
      <c r="B111" s="5">
        <f t="shared" si="1"/>
        <v>110</v>
      </c>
    </row>
    <row r="112" spans="1:2" x14ac:dyDescent="0.3">
      <c r="A112" s="5">
        <f>'(Un)correlated variables'!A25</f>
        <v>46</v>
      </c>
      <c r="B112" s="5">
        <f t="shared" si="1"/>
        <v>111</v>
      </c>
    </row>
    <row r="113" spans="1:2" x14ac:dyDescent="0.3">
      <c r="A113" s="5">
        <f>'(Un)correlated variables'!A30</f>
        <v>46</v>
      </c>
      <c r="B113" s="5">
        <f t="shared" si="1"/>
        <v>112</v>
      </c>
    </row>
    <row r="114" spans="1:2" x14ac:dyDescent="0.3">
      <c r="A114" s="5">
        <f>'(Un)correlated variables'!A42</f>
        <v>46</v>
      </c>
      <c r="B114" s="5">
        <f t="shared" si="1"/>
        <v>113</v>
      </c>
    </row>
    <row r="115" spans="1:2" x14ac:dyDescent="0.3">
      <c r="A115" s="5">
        <f>'(Un)correlated variables'!C42</f>
        <v>46</v>
      </c>
      <c r="B115" s="5">
        <f t="shared" si="1"/>
        <v>114</v>
      </c>
    </row>
    <row r="116" spans="1:2" x14ac:dyDescent="0.3">
      <c r="A116" s="5">
        <f>'(Un)correlated variables'!C49</f>
        <v>46</v>
      </c>
      <c r="B116" s="5">
        <f t="shared" si="1"/>
        <v>115</v>
      </c>
    </row>
    <row r="117" spans="1:2" x14ac:dyDescent="0.3">
      <c r="A117" s="5">
        <f>'(Un)correlated variables'!A49</f>
        <v>47</v>
      </c>
      <c r="B117" s="5">
        <f t="shared" si="1"/>
        <v>116</v>
      </c>
    </row>
    <row r="118" spans="1:2" x14ac:dyDescent="0.3">
      <c r="A118" s="5">
        <f>'(Un)correlated variables'!C64</f>
        <v>47</v>
      </c>
      <c r="B118" s="5">
        <f t="shared" si="1"/>
        <v>117</v>
      </c>
    </row>
    <row r="119" spans="1:2" x14ac:dyDescent="0.3">
      <c r="A119" s="5">
        <f>'(Un)correlated variables'!A38</f>
        <v>48</v>
      </c>
      <c r="B119" s="5">
        <f t="shared" si="1"/>
        <v>118</v>
      </c>
    </row>
    <row r="120" spans="1:2" x14ac:dyDescent="0.3">
      <c r="A120" s="5">
        <f>'(Un)correlated variables'!A64</f>
        <v>48</v>
      </c>
      <c r="B120" s="5">
        <f t="shared" si="1"/>
        <v>119</v>
      </c>
    </row>
    <row r="121" spans="1:2" x14ac:dyDescent="0.3">
      <c r="A121" s="5">
        <f>'(Un)correlated variables'!C38</f>
        <v>48</v>
      </c>
      <c r="B121" s="5">
        <f t="shared" si="1"/>
        <v>120</v>
      </c>
    </row>
    <row r="122" spans="1:2" x14ac:dyDescent="0.3">
      <c r="A122" s="5">
        <f>'(Un)correlated variables'!A22</f>
        <v>49</v>
      </c>
      <c r="B122" s="5">
        <f t="shared" si="1"/>
        <v>121</v>
      </c>
    </row>
    <row r="123" spans="1:2" x14ac:dyDescent="0.3">
      <c r="A123" s="5">
        <f>'(Un)correlated variables'!C5</f>
        <v>49</v>
      </c>
      <c r="B123" s="5">
        <f t="shared" si="1"/>
        <v>122</v>
      </c>
    </row>
    <row r="124" spans="1:2" x14ac:dyDescent="0.3">
      <c r="A124" s="5">
        <f>'(Un)correlated variables'!C22</f>
        <v>49</v>
      </c>
      <c r="B124" s="5">
        <f t="shared" si="1"/>
        <v>123</v>
      </c>
    </row>
    <row r="125" spans="1:2" x14ac:dyDescent="0.3">
      <c r="A125" s="5">
        <f>'(Un)correlated variables'!A5</f>
        <v>50</v>
      </c>
      <c r="B125" s="5">
        <f t="shared" si="1"/>
        <v>124</v>
      </c>
    </row>
    <row r="126" spans="1:2" x14ac:dyDescent="0.3">
      <c r="A126" s="5">
        <f>'(Un)correlated variables'!A39</f>
        <v>51</v>
      </c>
      <c r="B126" s="5">
        <f t="shared" si="1"/>
        <v>125</v>
      </c>
    </row>
    <row r="127" spans="1:2" x14ac:dyDescent="0.3">
      <c r="A127" s="5">
        <f>'(Un)correlated variables'!C7</f>
        <v>51</v>
      </c>
      <c r="B127" s="5">
        <f t="shared" si="1"/>
        <v>126</v>
      </c>
    </row>
    <row r="128" spans="1:2" x14ac:dyDescent="0.3">
      <c r="A128" s="5">
        <f>'(Un)correlated variables'!C39</f>
        <v>51</v>
      </c>
      <c r="B128" s="5">
        <f t="shared" si="1"/>
        <v>127</v>
      </c>
    </row>
    <row r="129" spans="1:2" x14ac:dyDescent="0.3">
      <c r="A129" s="5">
        <f>'(Un)correlated variables'!A7</f>
        <v>52</v>
      </c>
      <c r="B129" s="5">
        <f t="shared" si="1"/>
        <v>128</v>
      </c>
    </row>
    <row r="130" spans="1:2" x14ac:dyDescent="0.3">
      <c r="A130" s="5">
        <f>'(Un)correlated variables'!C15</f>
        <v>57</v>
      </c>
      <c r="B130" s="5">
        <f t="shared" si="1"/>
        <v>129</v>
      </c>
    </row>
    <row r="131" spans="1:2" x14ac:dyDescent="0.3">
      <c r="A131" s="5">
        <f>'(Un)correlated variables'!C32</f>
        <v>57</v>
      </c>
      <c r="B131" s="5">
        <f t="shared" si="1"/>
        <v>130</v>
      </c>
    </row>
    <row r="132" spans="1:2" x14ac:dyDescent="0.3">
      <c r="A132" s="5">
        <f>'(Un)correlated variables'!A15</f>
        <v>58</v>
      </c>
      <c r="B132" s="5">
        <f t="shared" ref="B132:B139" si="2">B131+1</f>
        <v>131</v>
      </c>
    </row>
    <row r="133" spans="1:2" x14ac:dyDescent="0.3">
      <c r="A133" s="5">
        <f>'(Un)correlated variables'!A32</f>
        <v>58</v>
      </c>
      <c r="B133" s="5">
        <f t="shared" si="2"/>
        <v>132</v>
      </c>
    </row>
    <row r="134" spans="1:2" x14ac:dyDescent="0.3">
      <c r="A134" s="5">
        <f>'(Un)correlated variables'!C69</f>
        <v>58</v>
      </c>
      <c r="B134" s="5">
        <f t="shared" si="2"/>
        <v>133</v>
      </c>
    </row>
    <row r="135" spans="1:2" x14ac:dyDescent="0.3">
      <c r="A135" s="5">
        <f>'(Un)correlated variables'!A69</f>
        <v>59</v>
      </c>
      <c r="B135" s="5">
        <f t="shared" si="2"/>
        <v>134</v>
      </c>
    </row>
    <row r="136" spans="1:2" x14ac:dyDescent="0.3">
      <c r="A136" s="5">
        <f>'(Un)correlated variables'!C33</f>
        <v>67</v>
      </c>
      <c r="B136" s="5">
        <f t="shared" si="2"/>
        <v>135</v>
      </c>
    </row>
    <row r="137" spans="1:2" x14ac:dyDescent="0.3">
      <c r="A137" s="5">
        <f>'(Un)correlated variables'!A33</f>
        <v>68</v>
      </c>
      <c r="B137" s="5">
        <f t="shared" si="2"/>
        <v>136</v>
      </c>
    </row>
    <row r="138" spans="1:2" x14ac:dyDescent="0.3">
      <c r="A138" s="5">
        <f>'(Un)correlated variables'!C43</f>
        <v>72</v>
      </c>
      <c r="B138" s="5">
        <f t="shared" si="2"/>
        <v>137</v>
      </c>
    </row>
    <row r="139" spans="1:2" x14ac:dyDescent="0.3">
      <c r="A139" s="5">
        <f>'(Un)correlated variables'!A43</f>
        <v>73</v>
      </c>
      <c r="B139" s="5">
        <f t="shared" si="2"/>
        <v>138</v>
      </c>
    </row>
  </sheetData>
  <autoFilter ref="A1:B139" xr:uid="{00000000-0001-0000-0500-000000000000}">
    <filterColumn colId="0">
      <iconFilter iconSet="3Arrows"/>
    </filterColumn>
    <sortState xmlns:xlrd2="http://schemas.microsoft.com/office/spreadsheetml/2017/richdata2" ref="A2:B139">
      <sortCondition ref="A1:A139"/>
    </sortState>
  </autoFilter>
  <dataConsolidate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55913B-682F-463B-911D-038E2EA93F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Parameters</vt:lpstr>
      <vt:lpstr>Data</vt:lpstr>
      <vt:lpstr>Sample</vt:lpstr>
      <vt:lpstr>Statistical insight</vt:lpstr>
      <vt:lpstr>(Un)correlated variables</vt:lpstr>
      <vt:lpstr>Linear 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Callegari</dc:creator>
  <cp:lastModifiedBy>Arianna Callegari</cp:lastModifiedBy>
  <dcterms:created xsi:type="dcterms:W3CDTF">2024-01-01T19:42:54Z</dcterms:created>
  <dcterms:modified xsi:type="dcterms:W3CDTF">2024-01-08T19:32:54Z</dcterms:modified>
</cp:coreProperties>
</file>